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liagroup-my.sharepoint.com/personal/me3777_belgrid_net/Documents/Documents/"/>
    </mc:Choice>
  </mc:AlternateContent>
  <xr:revisionPtr revIDLastSave="0" documentId="8_{C6580DD7-C818-471C-81D5-F13D467E3E59}" xr6:coauthVersionLast="47" xr6:coauthVersionMax="47" xr10:uidLastSave="{00000000-0000-0000-0000-000000000000}"/>
  <bookViews>
    <workbookView xWindow="-120" yWindow="-120" windowWidth="51840" windowHeight="21120" firstSheet="3" activeTab="3" xr2:uid="{00000000-000D-0000-FFFF-FFFF00000000}"/>
  </bookViews>
  <sheets>
    <sheet name="Deployments" sheetId="2" r:id="rId1"/>
    <sheet name="Commits" sheetId="3" r:id="rId2"/>
    <sheet name="Issues" sheetId="4" r:id="rId3"/>
    <sheet name="DORA" sheetId="5" r:id="rId4"/>
  </sheets>
  <definedNames>
    <definedName name="_xlcn.WorksheetConnection_DORA_DB.xlsxCommits" hidden="1">Commits[]</definedName>
    <definedName name="_xlcn.WorksheetConnection_DORA_DB.xlsxIssues" hidden="1">Issues[]</definedName>
    <definedName name="_xlcn.WorksheetConnection_DORA_DB.xlsxReleases" hidden="1">Deployments[]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mmits" name="Commits" connection="WorksheetConnection_DORA_DB.xlsx!Commits"/>
          <x15:modelTable id="Releases" name="Releases" connection="WorksheetConnection_DORA_DB.xlsx!Releases"/>
          <x15:modelTable id="Issues" name="Issues" connection="WorksheetConnection_DORA_DB.xlsx!Issues"/>
        </x15:modelTables>
        <x15:modelRelationships>
          <x15:modelRelationship fromTable="Commits" fromColumn="ReleaseID" toTable="Releases" toColumn="ReleaseID"/>
          <x15:modelRelationship fromTable="Issues" fromColumn="ReleaseID" toTable="Releases" toColumn="Releas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4" l="1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AF5" i="5"/>
  <c r="AE5" i="5"/>
  <c r="AD5" i="5"/>
  <c r="AC5" i="5"/>
  <c r="AB5" i="5"/>
  <c r="AA5" i="5"/>
  <c r="Z5" i="5"/>
  <c r="Y5" i="5"/>
  <c r="X5" i="5"/>
  <c r="W5" i="5"/>
  <c r="V5" i="5"/>
  <c r="U5" i="5"/>
  <c r="M5" i="5"/>
  <c r="K5" i="5"/>
  <c r="J5" i="5"/>
  <c r="I5" i="5"/>
  <c r="H5" i="5"/>
  <c r="G5" i="5"/>
  <c r="F5" i="5"/>
  <c r="E5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59" i="3"/>
  <c r="D58" i="3"/>
  <c r="D57" i="3"/>
  <c r="D56" i="3"/>
  <c r="D55" i="3"/>
  <c r="D54" i="3"/>
  <c r="D53" i="3"/>
  <c r="T5" i="5" s="1"/>
  <c r="D52" i="3"/>
  <c r="D51" i="3"/>
  <c r="D50" i="3"/>
  <c r="D49" i="3"/>
  <c r="D48" i="3"/>
  <c r="D47" i="3"/>
  <c r="D46" i="3"/>
  <c r="S5" i="5" s="1"/>
  <c r="D45" i="3"/>
  <c r="D44" i="3"/>
  <c r="D43" i="3"/>
  <c r="D42" i="3"/>
  <c r="D41" i="3"/>
  <c r="D40" i="3"/>
  <c r="R5" i="5" s="1"/>
  <c r="D39" i="3"/>
  <c r="D38" i="3"/>
  <c r="D37" i="3"/>
  <c r="D36" i="3"/>
  <c r="D35" i="3"/>
  <c r="Q5" i="5" s="1"/>
  <c r="D34" i="3"/>
  <c r="D33" i="3"/>
  <c r="D32" i="3"/>
  <c r="D31" i="3"/>
  <c r="D30" i="3"/>
  <c r="D29" i="3"/>
  <c r="D28" i="3"/>
  <c r="D27" i="3"/>
  <c r="D26" i="3"/>
  <c r="D25" i="3"/>
  <c r="P5" i="5" s="1"/>
  <c r="D24" i="3"/>
  <c r="E2" i="4"/>
  <c r="E3" i="4"/>
  <c r="D2" i="4"/>
  <c r="D3" i="4"/>
  <c r="XFD5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F3" i="5"/>
  <c r="G3" i="5"/>
  <c r="E3" i="5"/>
  <c r="C4" i="5"/>
  <c r="D2" i="3"/>
  <c r="L5" i="5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C3" i="5"/>
  <c r="C2" i="5"/>
  <c r="O5" i="5" l="1"/>
  <c r="N5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C5" i="5"/>
  <c r="C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C4D877-D713-40FE-AF86-339B0ED27A6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1FE546C-786C-4D5E-A885-C29A95526E95}" name="WorksheetConnection_DORA_DB.xlsx!Commits" type="102" refreshedVersion="8" minRefreshableVersion="5">
    <extLst>
      <ext xmlns:x15="http://schemas.microsoft.com/office/spreadsheetml/2010/11/main" uri="{DE250136-89BD-433C-8126-D09CA5730AF9}">
        <x15:connection id="Commits">
          <x15:rangePr sourceName="_xlcn.WorksheetConnection_DORA_DB.xlsxCommits"/>
        </x15:connection>
      </ext>
    </extLst>
  </connection>
  <connection id="3" xr16:uid="{1236987B-213E-468F-95E6-3DE0AA80A9C0}" name="WorksheetConnection_DORA_DB.xlsx!Issues" type="102" refreshedVersion="8" minRefreshableVersion="5">
    <extLst>
      <ext xmlns:x15="http://schemas.microsoft.com/office/spreadsheetml/2010/11/main" uri="{DE250136-89BD-433C-8126-D09CA5730AF9}">
        <x15:connection id="Issues">
          <x15:rangePr sourceName="_xlcn.WorksheetConnection_DORA_DB.xlsxIssues"/>
        </x15:connection>
      </ext>
    </extLst>
  </connection>
  <connection id="4" xr16:uid="{B70615F9-D2BF-46C6-913B-C5B9065D0D75}" name="WorksheetConnection_DORA_DB.xlsx!Releases" type="102" refreshedVersion="8" minRefreshableVersion="5">
    <extLst>
      <ext xmlns:x15="http://schemas.microsoft.com/office/spreadsheetml/2010/11/main" uri="{DE250136-89BD-433C-8126-D09CA5730AF9}">
        <x15:connection id="Releases">
          <x15:rangePr sourceName="_xlcn.WorksheetConnection_DORA_DB.xlsxReleases"/>
        </x15:connection>
      </ext>
    </extLst>
  </connection>
</connections>
</file>

<file path=xl/sharedStrings.xml><?xml version="1.0" encoding="utf-8"?>
<sst xmlns="http://schemas.openxmlformats.org/spreadsheetml/2006/main" count="22" uniqueCount="17">
  <si>
    <t>DeploymentID</t>
  </si>
  <si>
    <t>Acc</t>
  </si>
  <si>
    <t>Prod</t>
  </si>
  <si>
    <t>failed?</t>
  </si>
  <si>
    <t>commit id</t>
  </si>
  <si>
    <t>DateCommit</t>
  </si>
  <si>
    <t>DaysToRelease</t>
  </si>
  <si>
    <t>Issue ID</t>
  </si>
  <si>
    <t>Report Date</t>
  </si>
  <si>
    <t>Fixed-ReleaseID</t>
  </si>
  <si>
    <t>ReleaseDate</t>
  </si>
  <si>
    <t>Deployment Frequency ACC</t>
  </si>
  <si>
    <t>days</t>
  </si>
  <si>
    <t>Deployment Frequency PROD</t>
  </si>
  <si>
    <t>Failure Rate</t>
  </si>
  <si>
    <t>Cycle time</t>
  </si>
  <si>
    <t>MTTR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</si>
</sst>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;@"/>
    <numFmt numFmtId="165" formatCode="[$]dd/mm/yyyy;@" x16r2:formatCode16="[$-en-BE,1]dd/mm/yyyy;@"/>
    <numFmt numFmtId="166" formatCode="dd/mm/yy;@"/>
    <numFmt numFmtId="167" formatCode="d/mm/yyyy;@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242424"/>
      <name val="Cascadia Mono"/>
      <family val="3"/>
    </font>
    <font>
      <sz val="10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0" fontId="0" fillId="2" borderId="0" xfId="0" applyNumberFormat="1" applyFill="1"/>
    <xf numFmtId="0" fontId="2" fillId="0" borderId="0" xfId="0" applyFont="1"/>
    <xf numFmtId="166" fontId="2" fillId="0" borderId="0" xfId="0" applyNumberFormat="1" applyFont="1"/>
    <xf numFmtId="1" fontId="2" fillId="2" borderId="0" xfId="0" applyNumberFormat="1" applyFont="1" applyFill="1"/>
    <xf numFmtId="164" fontId="0" fillId="2" borderId="0" xfId="0" applyNumberFormat="1" applyFill="1"/>
    <xf numFmtId="2" fontId="0" fillId="0" borderId="0" xfId="0" applyNumberFormat="1"/>
    <xf numFmtId="2" fontId="3" fillId="0" borderId="1" xfId="0" applyNumberFormat="1" applyFont="1" applyBorder="1" applyAlignment="1">
      <alignment horizontal="left" vertical="center" indent="1"/>
    </xf>
    <xf numFmtId="167" fontId="0" fillId="2" borderId="0" xfId="0" applyNumberFormat="1" applyFill="1"/>
    <xf numFmtId="0" fontId="4" fillId="0" borderId="0" xfId="0" applyFont="1"/>
    <xf numFmtId="14" fontId="4" fillId="0" borderId="0" xfId="0" applyNumberFormat="1" applyFont="1"/>
    <xf numFmtId="14" fontId="0" fillId="0" borderId="0" xfId="0" applyNumberFormat="1"/>
    <xf numFmtId="1" fontId="0" fillId="2" borderId="0" xfId="0" applyNumberFormat="1" applyFont="1" applyFill="1"/>
  </cellXfs>
  <cellStyles count="1">
    <cellStyle name="Normal" xfId="0" builtinId="0"/>
  </cellStyles>
  <dxfs count="5">
    <dxf>
      <numFmt numFmtId="167" formatCode="d/mm/yyyy;@"/>
      <fill>
        <patternFill patternType="solid">
          <fgColor indexed="64"/>
          <bgColor theme="2" tint="-9.9978637043366805E-2"/>
        </patternFill>
      </fill>
    </dxf>
    <dxf>
      <numFmt numFmtId="2" formatCode="0.00"/>
      <fill>
        <patternFill patternType="solid">
          <fgColor indexed="64"/>
          <bgColor theme="2" tint="-9.9978637043366805E-2"/>
        </patternFill>
      </fill>
    </dxf>
    <dxf>
      <font>
        <color theme="1"/>
      </font>
      <numFmt numFmtId="1" formatCode="0"/>
      <fill>
        <patternFill patternType="solid">
          <fgColor indexed="64"/>
          <bgColor theme="2" tint="-9.9978637043366805E-2"/>
        </patternFill>
      </fill>
    </dxf>
    <dxf>
      <font>
        <sz val="9"/>
      </font>
    </dxf>
    <dxf>
      <numFmt numFmtId="168" formatCode="dd/mm/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DORA!$E$1:$AF$1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DORA!$E$2:$AF$2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10</c:v>
                </c:pt>
                <c:pt idx="11">
                  <c:v>18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F-4DDE-9BB2-B666C7CB56E6}"/>
            </c:ext>
          </c:extLst>
        </c:ser>
        <c:ser>
          <c:idx val="1"/>
          <c:order val="1"/>
          <c:tx>
            <c:v>Frq PROD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DORA!$E$1:$AF$1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DORA!$E$3:$AF$3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10</c:v>
                </c:pt>
                <c:pt idx="11">
                  <c:v>18</c:v>
                </c:pt>
                <c:pt idx="12">
                  <c:v>4</c:v>
                </c:pt>
                <c:pt idx="13">
                  <c:v>7</c:v>
                </c:pt>
                <c:pt idx="14">
                  <c:v>8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EF-4DDE-9BB2-B666C7CB56E6}"/>
            </c:ext>
          </c:extLst>
        </c:ser>
        <c:ser>
          <c:idx val="2"/>
          <c:order val="2"/>
          <c:tx>
            <c:v>Frq ACC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DORA!$E$1:$AF$1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DORA!$E$4:$AF$4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0.16666666666666666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EF-4DDE-9BB2-B666C7CB56E6}"/>
            </c:ext>
          </c:extLst>
        </c:ser>
        <c:ser>
          <c:idx val="3"/>
          <c:order val="3"/>
          <c:tx>
            <c:v>Failure Rate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DORA!$E$1:$AF$1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DORA!$E$5:$AF$5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0</c:v>
                </c:pt>
                <c:pt idx="9">
                  <c:v>1.4</c:v>
                </c:pt>
                <c:pt idx="10">
                  <c:v>3.5294117647058822</c:v>
                </c:pt>
                <c:pt idx="11">
                  <c:v>1</c:v>
                </c:pt>
                <c:pt idx="12">
                  <c:v>16.2</c:v>
                </c:pt>
                <c:pt idx="13">
                  <c:v>1</c:v>
                </c:pt>
                <c:pt idx="14">
                  <c:v>2.8571428571428572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EF-4DDE-9BB2-B666C7CB56E6}"/>
            </c:ext>
          </c:extLst>
        </c:ser>
        <c:ser>
          <c:idx val="4"/>
          <c:order val="4"/>
          <c:tx>
            <c:v>MTTR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DORA!$E$1:$AF$1</c:f>
              <c:numCache>
                <c:formatCode>dd\.mm\.yy;@</c:formatCode>
                <c:ptCount val="28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  <c:pt idx="13">
                  <c:v>46023</c:v>
                </c:pt>
                <c:pt idx="14">
                  <c:v>46054</c:v>
                </c:pt>
                <c:pt idx="15">
                  <c:v>46082</c:v>
                </c:pt>
                <c:pt idx="16">
                  <c:v>46113</c:v>
                </c:pt>
                <c:pt idx="17">
                  <c:v>46143</c:v>
                </c:pt>
                <c:pt idx="18">
                  <c:v>46174</c:v>
                </c:pt>
                <c:pt idx="19">
                  <c:v>46204</c:v>
                </c:pt>
                <c:pt idx="20">
                  <c:v>46235</c:v>
                </c:pt>
                <c:pt idx="21">
                  <c:v>46266</c:v>
                </c:pt>
                <c:pt idx="22">
                  <c:v>46296</c:v>
                </c:pt>
                <c:pt idx="23">
                  <c:v>46327</c:v>
                </c:pt>
                <c:pt idx="24">
                  <c:v>46357</c:v>
                </c:pt>
                <c:pt idx="25">
                  <c:v>46388</c:v>
                </c:pt>
                <c:pt idx="26">
                  <c:v>46419</c:v>
                </c:pt>
                <c:pt idx="27">
                  <c:v>46447</c:v>
                </c:pt>
              </c:numCache>
            </c:numRef>
          </c:cat>
          <c:val>
            <c:numRef>
              <c:f>DORA!$E$6:$AF$6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0.25</c:v>
                </c:pt>
                <c:pt idx="15">
                  <c:v>0.5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EF-4DDE-9BB2-B666C7CB5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528840"/>
        <c:axId val="1647847432"/>
      </c:lineChart>
      <c:dateAx>
        <c:axId val="1641528840"/>
        <c:scaling>
          <c:orientation val="minMax"/>
        </c:scaling>
        <c:delete val="0"/>
        <c:axPos val="b"/>
        <c:numFmt formatCode="dd\.mm\.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847432"/>
        <c:crosses val="autoZero"/>
        <c:auto val="1"/>
        <c:lblOffset val="100"/>
        <c:baseTimeUnit val="months"/>
      </c:dateAx>
      <c:valAx>
        <c:axId val="1647847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52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209550</xdr:colOff>
      <xdr:row>7</xdr:row>
      <xdr:rowOff>9525</xdr:rowOff>
    </xdr:from>
    <xdr:to>
      <xdr:col>27</xdr:col>
      <xdr:colOff>514350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CC061-73CD-20E4-3842-A3D1B44FF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52C7B-19E8-4FCA-884F-7E542B9F42CD}" name="Deployments" displayName="Deployments" ref="A1:D59" totalsRowShown="0">
  <autoFilter ref="A1:D59" xr:uid="{3EF52C7B-19E8-4FCA-884F-7E542B9F42CD}"/>
  <tableColumns count="4">
    <tableColumn id="1" xr3:uid="{14153FF6-64EA-4414-9474-7256C35B22BA}" name="DeploymentID"/>
    <tableColumn id="2" xr3:uid="{C4A45764-584C-4FC5-90BE-1EBE70D5C356}" name="Acc" dataDxfId="4"/>
    <tableColumn id="3" xr3:uid="{38964CE1-99E9-4B22-84CF-43CEAB837A24}" name="Prod"/>
    <tableColumn id="4" xr3:uid="{388C7A94-9239-4790-8E71-1C4DE739BFE6}" name="failed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B31327-3D37-4ED3-8FAA-50206470CBB8}" name="Commits" displayName="Commits" ref="A1:D59" totalsRowShown="0" headerRowDxfId="3">
  <autoFilter ref="A1:D59" xr:uid="{9BB31327-3D37-4ED3-8FAA-50206470CBB8}"/>
  <tableColumns count="4">
    <tableColumn id="1" xr3:uid="{2BA8827F-B2AB-47E8-930D-5D9B7638A8C5}" name="commit id"/>
    <tableColumn id="3" xr3:uid="{5FF0989D-94B8-4BDF-84CF-CBDC01127D12}" name="DateCommit"/>
    <tableColumn id="2" xr3:uid="{330C393B-EA3C-4930-A597-BC24B75D308B}" name="DeploymentID"/>
    <tableColumn id="4" xr3:uid="{C42C73E0-A7C1-47EA-8C35-541BC5AE1B0E}" name="DaysToRelease" dataDxfId="2">
      <calculatedColumnFormula>_xlfn.XLOOKUP(Commits[[#This Row],[DeploymentID]],Deployments[DeploymentID],Deployments[Prod])-Commits[[#This Row],[DateCommit]]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8C64C6-CD91-4D13-B82F-AB79CB39A827}" name="Issues" displayName="Issues" ref="A1:E19" totalsRowShown="0">
  <autoFilter ref="A1:E19" xr:uid="{078C64C6-CD91-4D13-B82F-AB79CB39A827}"/>
  <tableColumns count="5">
    <tableColumn id="1" xr3:uid="{6E8DEEC0-4553-4EED-B3F0-F1601870A257}" name="Issue ID"/>
    <tableColumn id="2" xr3:uid="{4493AFEE-D4C3-4578-967E-67FC626EC368}" name="Report Date"/>
    <tableColumn id="3" xr3:uid="{E555D9A0-9DB2-4C30-95B9-81634C1D9FF3}" name="Fixed-ReleaseID"/>
    <tableColumn id="4" xr3:uid="{542E0420-C726-45C1-8FA6-4F5B39B4EA9A}" name="DaysToRelease" dataDxfId="1">
      <calculatedColumnFormula>_xlfn.XLOOKUP(Issues[[#This Row],[Fixed-ReleaseID]],Deployments[DeploymentID],Deployments[Prod])-Issues[[#This Row],[Report Date]]</calculatedColumnFormula>
    </tableColumn>
    <tableColumn id="5" xr3:uid="{7216D17E-CF55-44DC-88A2-8CF652039E32}" name="ReleaseDate" dataDxfId="0">
      <calculatedColumnFormula>_xlfn.XLOOKUP(Issues[[#This Row],[Fixed-ReleaseID]],Deployments[DeploymentID],Deployments[Prod])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30B5-3763-4CB0-8BB4-6927D59557BF}">
  <dimension ref="A1:D60"/>
  <sheetViews>
    <sheetView topLeftCell="A7" workbookViewId="0">
      <selection activeCell="E22" sqref="E22"/>
    </sheetView>
  </sheetViews>
  <sheetFormatPr defaultRowHeight="15" x14ac:dyDescent="0.25"/>
  <cols>
    <col min="1" max="1" width="16.85546875" customWidth="1"/>
    <col min="2" max="2" width="13.85546875" style="17" customWidth="1"/>
    <col min="3" max="3" width="14.42578125" style="17" customWidth="1"/>
    <col min="4" max="4" width="9.42578125" bestFit="1" customWidth="1"/>
  </cols>
  <sheetData>
    <row r="1" spans="1:4" x14ac:dyDescent="0.25">
      <c r="A1" t="s">
        <v>0</v>
      </c>
      <c r="B1" s="17" t="s">
        <v>1</v>
      </c>
      <c r="C1" s="17" t="s">
        <v>2</v>
      </c>
      <c r="D1" t="s">
        <v>3</v>
      </c>
    </row>
    <row r="2" spans="1:4" x14ac:dyDescent="0.25">
      <c r="A2" s="15">
        <v>1</v>
      </c>
      <c r="B2" s="16">
        <v>45896</v>
      </c>
      <c r="C2" s="16">
        <v>45896</v>
      </c>
      <c r="D2" s="15">
        <v>0</v>
      </c>
    </row>
    <row r="3" spans="1:4" x14ac:dyDescent="0.25">
      <c r="A3" s="15">
        <v>2</v>
      </c>
      <c r="B3" s="16">
        <v>45896</v>
      </c>
      <c r="C3" s="16">
        <v>45896</v>
      </c>
      <c r="D3" s="15">
        <v>0</v>
      </c>
    </row>
    <row r="4" spans="1:4" x14ac:dyDescent="0.25">
      <c r="A4" s="15">
        <v>3</v>
      </c>
      <c r="B4" s="16">
        <v>45898</v>
      </c>
      <c r="C4" s="16">
        <v>45898</v>
      </c>
      <c r="D4" s="15">
        <v>0</v>
      </c>
    </row>
    <row r="5" spans="1:4" x14ac:dyDescent="0.25">
      <c r="A5" s="15">
        <v>4</v>
      </c>
      <c r="B5" s="16">
        <v>45898</v>
      </c>
      <c r="C5" s="16">
        <v>45898</v>
      </c>
      <c r="D5" s="15">
        <v>0</v>
      </c>
    </row>
    <row r="6" spans="1:4" x14ac:dyDescent="0.25">
      <c r="A6" s="15">
        <v>5</v>
      </c>
      <c r="B6" s="16">
        <v>45901</v>
      </c>
      <c r="C6" s="16">
        <v>45901</v>
      </c>
      <c r="D6" s="15">
        <v>0</v>
      </c>
    </row>
    <row r="7" spans="1:4" x14ac:dyDescent="0.25">
      <c r="A7" s="15">
        <v>6</v>
      </c>
      <c r="B7" s="16">
        <v>45902</v>
      </c>
      <c r="C7" s="16">
        <v>45902</v>
      </c>
      <c r="D7" s="15">
        <v>0</v>
      </c>
    </row>
    <row r="8" spans="1:4" x14ac:dyDescent="0.25">
      <c r="A8" s="15">
        <v>7</v>
      </c>
      <c r="B8" s="16">
        <v>45905</v>
      </c>
      <c r="C8" s="16">
        <v>45905</v>
      </c>
      <c r="D8" s="15">
        <v>1</v>
      </c>
    </row>
    <row r="9" spans="1:4" x14ac:dyDescent="0.25">
      <c r="A9" s="15">
        <v>8</v>
      </c>
      <c r="B9" s="16">
        <v>45926</v>
      </c>
      <c r="C9" s="16">
        <v>45926</v>
      </c>
      <c r="D9" s="15">
        <v>0</v>
      </c>
    </row>
    <row r="10" spans="1:4" x14ac:dyDescent="0.25">
      <c r="A10" s="15">
        <v>9</v>
      </c>
      <c r="B10" s="16">
        <v>45929</v>
      </c>
      <c r="C10" s="16">
        <v>45929</v>
      </c>
      <c r="D10" s="15">
        <v>0</v>
      </c>
    </row>
    <row r="11" spans="1:4" x14ac:dyDescent="0.25">
      <c r="A11" s="15">
        <v>10</v>
      </c>
      <c r="B11" s="16">
        <v>45929</v>
      </c>
      <c r="C11" s="16">
        <v>45929</v>
      </c>
      <c r="D11" s="15">
        <v>0</v>
      </c>
    </row>
    <row r="12" spans="1:4" x14ac:dyDescent="0.25">
      <c r="A12" s="15">
        <v>11</v>
      </c>
      <c r="B12" s="16">
        <v>45929</v>
      </c>
      <c r="C12" s="16">
        <v>45929</v>
      </c>
      <c r="D12" s="15">
        <v>0</v>
      </c>
    </row>
    <row r="13" spans="1:4" x14ac:dyDescent="0.25">
      <c r="A13" s="15">
        <v>12</v>
      </c>
      <c r="B13" s="16">
        <v>45929</v>
      </c>
      <c r="C13" s="16">
        <v>45929</v>
      </c>
      <c r="D13" s="15">
        <v>0</v>
      </c>
    </row>
    <row r="14" spans="1:4" x14ac:dyDescent="0.25">
      <c r="A14" s="15">
        <v>13</v>
      </c>
      <c r="B14" s="16">
        <v>45930</v>
      </c>
      <c r="C14" s="16">
        <v>45930</v>
      </c>
      <c r="D14" s="15">
        <v>0</v>
      </c>
    </row>
    <row r="15" spans="1:4" x14ac:dyDescent="0.25">
      <c r="A15" s="15">
        <v>14</v>
      </c>
      <c r="B15" s="16">
        <v>45930</v>
      </c>
      <c r="C15" s="16">
        <v>45930</v>
      </c>
      <c r="D15" s="15">
        <v>0</v>
      </c>
    </row>
    <row r="16" spans="1:4" x14ac:dyDescent="0.25">
      <c r="A16" s="15">
        <v>15</v>
      </c>
      <c r="B16" s="16">
        <v>45931</v>
      </c>
      <c r="C16" s="16">
        <v>45931</v>
      </c>
      <c r="D16" s="15">
        <v>0</v>
      </c>
    </row>
    <row r="17" spans="1:4" x14ac:dyDescent="0.25">
      <c r="A17" s="15">
        <v>16</v>
      </c>
      <c r="B17" s="16">
        <v>45931</v>
      </c>
      <c r="C17" s="16">
        <v>45931</v>
      </c>
      <c r="D17" s="15">
        <v>0</v>
      </c>
    </row>
    <row r="18" spans="1:4" x14ac:dyDescent="0.25">
      <c r="A18" s="15">
        <v>17</v>
      </c>
      <c r="B18" s="16">
        <v>45931</v>
      </c>
      <c r="C18" s="16">
        <v>45931</v>
      </c>
      <c r="D18" s="15">
        <v>0</v>
      </c>
    </row>
    <row r="19" spans="1:4" x14ac:dyDescent="0.25">
      <c r="A19" s="15">
        <v>18</v>
      </c>
      <c r="B19" s="16">
        <v>45931</v>
      </c>
      <c r="C19" s="16">
        <v>45931</v>
      </c>
      <c r="D19" s="15">
        <v>0</v>
      </c>
    </row>
    <row r="20" spans="1:4" x14ac:dyDescent="0.25">
      <c r="A20" s="15">
        <v>19</v>
      </c>
      <c r="B20" s="16">
        <v>45931</v>
      </c>
      <c r="C20" s="16">
        <v>45931</v>
      </c>
      <c r="D20" s="15">
        <v>0</v>
      </c>
    </row>
    <row r="21" spans="1:4" x14ac:dyDescent="0.25">
      <c r="A21" s="15">
        <v>20</v>
      </c>
      <c r="B21" s="16">
        <v>45931</v>
      </c>
      <c r="C21" s="16">
        <v>45931</v>
      </c>
      <c r="D21" s="15">
        <v>0</v>
      </c>
    </row>
    <row r="22" spans="1:4" x14ac:dyDescent="0.25">
      <c r="A22" s="15">
        <v>21</v>
      </c>
      <c r="B22" s="16">
        <v>45931</v>
      </c>
      <c r="C22" s="16">
        <v>45931</v>
      </c>
      <c r="D22" s="15">
        <v>1</v>
      </c>
    </row>
    <row r="23" spans="1:4" x14ac:dyDescent="0.25">
      <c r="A23" s="15">
        <v>22</v>
      </c>
      <c r="B23" s="16">
        <v>45931</v>
      </c>
      <c r="C23" s="16">
        <v>45931</v>
      </c>
      <c r="D23" s="15">
        <v>1</v>
      </c>
    </row>
    <row r="24" spans="1:4" x14ac:dyDescent="0.25">
      <c r="A24" s="15">
        <v>23</v>
      </c>
      <c r="B24" s="16">
        <v>45932</v>
      </c>
      <c r="C24" s="16">
        <v>45932</v>
      </c>
      <c r="D24" s="15">
        <v>1</v>
      </c>
    </row>
    <row r="25" spans="1:4" x14ac:dyDescent="0.25">
      <c r="A25" s="15">
        <v>24</v>
      </c>
      <c r="B25" s="16">
        <v>45932</v>
      </c>
      <c r="C25" s="16">
        <v>45932</v>
      </c>
      <c r="D25" s="15">
        <v>0</v>
      </c>
    </row>
    <row r="26" spans="1:4" x14ac:dyDescent="0.25">
      <c r="A26" s="15">
        <v>25</v>
      </c>
      <c r="B26" s="16">
        <v>45932</v>
      </c>
      <c r="C26" s="16">
        <v>45932</v>
      </c>
      <c r="D26" s="15">
        <v>0</v>
      </c>
    </row>
    <row r="27" spans="1:4" x14ac:dyDescent="0.25">
      <c r="A27" s="15">
        <v>26</v>
      </c>
      <c r="B27" s="16">
        <v>45932</v>
      </c>
      <c r="C27" s="16">
        <v>45932</v>
      </c>
      <c r="D27" s="15">
        <v>0</v>
      </c>
    </row>
    <row r="28" spans="1:4" x14ac:dyDescent="0.25">
      <c r="A28" s="15">
        <v>27</v>
      </c>
      <c r="B28" s="16">
        <v>45936</v>
      </c>
      <c r="C28" s="16">
        <v>45936</v>
      </c>
      <c r="D28" s="15">
        <v>0</v>
      </c>
    </row>
    <row r="29" spans="1:4" x14ac:dyDescent="0.25">
      <c r="A29" s="15">
        <v>28</v>
      </c>
      <c r="B29" s="16">
        <v>45936</v>
      </c>
      <c r="C29" s="16">
        <v>45936</v>
      </c>
      <c r="D29" s="15">
        <v>0</v>
      </c>
    </row>
    <row r="30" spans="1:4" x14ac:dyDescent="0.25">
      <c r="A30" s="15">
        <v>29</v>
      </c>
      <c r="B30" s="16">
        <v>45943</v>
      </c>
      <c r="C30" s="16">
        <v>45943</v>
      </c>
      <c r="D30" s="15">
        <v>0</v>
      </c>
    </row>
    <row r="31" spans="1:4" x14ac:dyDescent="0.25">
      <c r="A31" s="15">
        <v>30</v>
      </c>
      <c r="B31" s="16">
        <v>45961</v>
      </c>
      <c r="C31" s="16">
        <v>45961</v>
      </c>
      <c r="D31" s="15">
        <v>0</v>
      </c>
    </row>
    <row r="32" spans="1:4" x14ac:dyDescent="0.25">
      <c r="A32" s="15">
        <v>31</v>
      </c>
      <c r="B32" s="16">
        <v>45961</v>
      </c>
      <c r="C32" s="16">
        <v>45961</v>
      </c>
      <c r="D32" s="15">
        <v>0</v>
      </c>
    </row>
    <row r="33" spans="1:4" x14ac:dyDescent="0.25">
      <c r="A33" s="15">
        <v>32</v>
      </c>
      <c r="B33" s="16">
        <v>45961</v>
      </c>
      <c r="C33" s="16">
        <v>45961</v>
      </c>
      <c r="D33" s="15">
        <v>0</v>
      </c>
    </row>
    <row r="34" spans="1:4" x14ac:dyDescent="0.25">
      <c r="A34" s="15">
        <v>33</v>
      </c>
      <c r="B34" s="16">
        <v>45964</v>
      </c>
      <c r="C34" s="16">
        <v>45964</v>
      </c>
      <c r="D34" s="15">
        <v>0</v>
      </c>
    </row>
    <row r="35" spans="1:4" x14ac:dyDescent="0.25">
      <c r="A35" s="15">
        <v>34</v>
      </c>
      <c r="B35" s="16">
        <v>45966</v>
      </c>
      <c r="C35" s="16">
        <v>45966</v>
      </c>
      <c r="D35" s="15">
        <v>0</v>
      </c>
    </row>
    <row r="36" spans="1:4" x14ac:dyDescent="0.25">
      <c r="A36" s="15">
        <v>35</v>
      </c>
      <c r="B36" s="16">
        <v>45967</v>
      </c>
      <c r="C36" s="16">
        <v>45967</v>
      </c>
      <c r="D36" s="15">
        <v>0</v>
      </c>
    </row>
    <row r="37" spans="1:4" x14ac:dyDescent="0.25">
      <c r="A37" s="15">
        <v>36</v>
      </c>
      <c r="B37" s="16">
        <v>45973</v>
      </c>
      <c r="C37" s="16">
        <v>45973</v>
      </c>
      <c r="D37" s="15">
        <v>0</v>
      </c>
    </row>
    <row r="38" spans="1:4" x14ac:dyDescent="0.25">
      <c r="A38" s="15">
        <v>37</v>
      </c>
      <c r="B38" s="16">
        <v>45994</v>
      </c>
      <c r="C38" s="16">
        <v>45994</v>
      </c>
      <c r="D38" s="15">
        <v>0</v>
      </c>
    </row>
    <row r="39" spans="1:4" x14ac:dyDescent="0.25">
      <c r="A39" s="15">
        <v>38</v>
      </c>
      <c r="B39" s="16">
        <v>45994</v>
      </c>
      <c r="C39" s="16">
        <v>45994</v>
      </c>
      <c r="D39" s="15">
        <v>0</v>
      </c>
    </row>
    <row r="40" spans="1:4" x14ac:dyDescent="0.25">
      <c r="A40" s="15">
        <v>39</v>
      </c>
      <c r="B40" s="16">
        <v>45995</v>
      </c>
      <c r="C40" s="16">
        <v>45995</v>
      </c>
      <c r="D40" s="15">
        <v>0</v>
      </c>
    </row>
    <row r="41" spans="1:4" x14ac:dyDescent="0.25">
      <c r="A41" s="15">
        <v>40</v>
      </c>
      <c r="B41" s="16">
        <v>45995</v>
      </c>
      <c r="C41" s="16">
        <v>45995</v>
      </c>
      <c r="D41" s="15">
        <v>0</v>
      </c>
    </row>
    <row r="42" spans="1:4" x14ac:dyDescent="0.25">
      <c r="A42" s="15">
        <v>41</v>
      </c>
      <c r="B42" s="16">
        <v>45996</v>
      </c>
      <c r="C42" s="16">
        <v>45996</v>
      </c>
      <c r="D42" s="15">
        <v>0</v>
      </c>
    </row>
    <row r="43" spans="1:4" x14ac:dyDescent="0.25">
      <c r="A43" s="15">
        <v>42</v>
      </c>
      <c r="B43" s="16">
        <v>45996</v>
      </c>
      <c r="C43" s="16">
        <v>45996</v>
      </c>
      <c r="D43" s="15">
        <v>0</v>
      </c>
    </row>
    <row r="44" spans="1:4" x14ac:dyDescent="0.25">
      <c r="A44" s="15">
        <v>43</v>
      </c>
      <c r="B44" s="16">
        <v>45996</v>
      </c>
      <c r="C44" s="16">
        <v>45996</v>
      </c>
      <c r="D44" s="15">
        <v>0</v>
      </c>
    </row>
    <row r="45" spans="1:4" x14ac:dyDescent="0.25">
      <c r="A45" s="15">
        <v>44</v>
      </c>
      <c r="B45" s="16">
        <v>46037</v>
      </c>
      <c r="C45" s="16">
        <v>46037</v>
      </c>
      <c r="D45" s="15">
        <v>0</v>
      </c>
    </row>
    <row r="46" spans="1:4" x14ac:dyDescent="0.25">
      <c r="A46" s="15">
        <v>45</v>
      </c>
      <c r="B46" s="16">
        <v>46037</v>
      </c>
      <c r="C46" s="16">
        <v>46037</v>
      </c>
      <c r="D46" s="15">
        <v>0</v>
      </c>
    </row>
    <row r="47" spans="1:4" x14ac:dyDescent="0.25">
      <c r="A47" s="15">
        <v>46</v>
      </c>
      <c r="B47" s="16">
        <v>46037</v>
      </c>
      <c r="C47" s="16">
        <v>46037</v>
      </c>
      <c r="D47" s="15">
        <v>0</v>
      </c>
    </row>
    <row r="48" spans="1:4" x14ac:dyDescent="0.25">
      <c r="A48" s="15">
        <v>47</v>
      </c>
      <c r="B48" s="16">
        <v>46042</v>
      </c>
      <c r="C48" s="16">
        <v>46042</v>
      </c>
      <c r="D48" s="15">
        <v>0</v>
      </c>
    </row>
    <row r="49" spans="1:4" x14ac:dyDescent="0.25">
      <c r="A49" s="15">
        <v>48</v>
      </c>
      <c r="B49" s="16">
        <v>46044</v>
      </c>
      <c r="C49" s="16">
        <v>46044</v>
      </c>
      <c r="D49" s="15">
        <v>0</v>
      </c>
    </row>
    <row r="50" spans="1:4" x14ac:dyDescent="0.25">
      <c r="A50" s="15">
        <v>49</v>
      </c>
      <c r="B50" s="16">
        <v>46045</v>
      </c>
      <c r="C50" s="16">
        <v>46045</v>
      </c>
      <c r="D50" s="15">
        <v>0</v>
      </c>
    </row>
    <row r="51" spans="1:4" x14ac:dyDescent="0.25">
      <c r="A51" s="15">
        <v>50</v>
      </c>
      <c r="B51" s="16">
        <v>46048</v>
      </c>
      <c r="C51" s="16">
        <v>46048</v>
      </c>
      <c r="D51" s="15">
        <v>0</v>
      </c>
    </row>
    <row r="52" spans="1:4" x14ac:dyDescent="0.25">
      <c r="A52" s="15">
        <v>51</v>
      </c>
      <c r="B52" s="16">
        <v>46048</v>
      </c>
      <c r="C52" s="16">
        <v>46048</v>
      </c>
      <c r="D52" s="15">
        <v>0</v>
      </c>
    </row>
    <row r="53" spans="1:4" x14ac:dyDescent="0.25">
      <c r="A53" s="15">
        <v>52</v>
      </c>
      <c r="B53" s="16">
        <v>46064</v>
      </c>
      <c r="C53" s="16">
        <v>46064</v>
      </c>
      <c r="D53" s="15">
        <v>0</v>
      </c>
    </row>
    <row r="54" spans="1:4" x14ac:dyDescent="0.25">
      <c r="A54" s="15">
        <v>53</v>
      </c>
      <c r="B54" s="16">
        <v>46064</v>
      </c>
      <c r="C54" s="16">
        <v>46064</v>
      </c>
      <c r="D54" s="15">
        <v>0</v>
      </c>
    </row>
    <row r="55" spans="1:4" x14ac:dyDescent="0.25">
      <c r="A55" s="15">
        <v>54</v>
      </c>
      <c r="B55" s="16">
        <v>46064</v>
      </c>
      <c r="C55" s="16">
        <v>46064</v>
      </c>
      <c r="D55" s="15">
        <v>0</v>
      </c>
    </row>
    <row r="56" spans="1:4" x14ac:dyDescent="0.25">
      <c r="A56" s="15">
        <v>55</v>
      </c>
      <c r="B56" s="16">
        <v>46065</v>
      </c>
      <c r="C56" s="16">
        <v>46065</v>
      </c>
      <c r="D56" s="15">
        <v>0</v>
      </c>
    </row>
    <row r="57" spans="1:4" x14ac:dyDescent="0.25">
      <c r="A57" s="15">
        <v>56</v>
      </c>
      <c r="B57" s="16">
        <v>46065</v>
      </c>
      <c r="C57" s="16">
        <v>46065</v>
      </c>
      <c r="D57" s="15">
        <v>0</v>
      </c>
    </row>
    <row r="58" spans="1:4" x14ac:dyDescent="0.25">
      <c r="A58" s="15">
        <v>57</v>
      </c>
      <c r="B58" s="16">
        <v>46066</v>
      </c>
      <c r="C58" s="16">
        <v>46066</v>
      </c>
      <c r="D58" s="15">
        <v>0</v>
      </c>
    </row>
    <row r="59" spans="1:4" x14ac:dyDescent="0.25">
      <c r="A59" s="15">
        <v>58</v>
      </c>
      <c r="B59" s="16">
        <v>46069</v>
      </c>
      <c r="C59" s="16">
        <v>46069</v>
      </c>
      <c r="D59" s="15">
        <v>0</v>
      </c>
    </row>
    <row r="60" spans="1:4" x14ac:dyDescent="0.25">
      <c r="A60" s="15"/>
      <c r="B60" s="16"/>
      <c r="C60" s="16"/>
      <c r="D60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6CE3-08EF-482D-A958-CA2E10522F22}">
  <dimension ref="A1:D59"/>
  <sheetViews>
    <sheetView workbookViewId="0">
      <selection activeCell="A2" sqref="A2:C59"/>
    </sheetView>
  </sheetViews>
  <sheetFormatPr defaultRowHeight="15" x14ac:dyDescent="0.25"/>
  <cols>
    <col min="1" max="1" width="12.28515625" customWidth="1"/>
    <col min="2" max="2" width="14" style="3" customWidth="1"/>
    <col min="3" max="3" width="15.28515625" customWidth="1"/>
    <col min="4" max="4" width="18.42578125" style="4" customWidth="1"/>
  </cols>
  <sheetData>
    <row r="1" spans="1:4" s="8" customFormat="1" ht="12" x14ac:dyDescent="0.2">
      <c r="A1" s="8" t="s">
        <v>4</v>
      </c>
      <c r="B1" s="9" t="s">
        <v>5</v>
      </c>
      <c r="C1" s="8" t="s">
        <v>0</v>
      </c>
      <c r="D1" s="10" t="s">
        <v>6</v>
      </c>
    </row>
    <row r="2" spans="1:4" x14ac:dyDescent="0.25">
      <c r="A2" s="15">
        <v>59006</v>
      </c>
      <c r="B2" s="16">
        <v>45819</v>
      </c>
      <c r="C2" s="15">
        <v>12</v>
      </c>
      <c r="D2" s="4">
        <f>_xlfn.XLOOKUP(Commits[[#This Row],[DeploymentID]],Deployments[DeploymentID],Deployments[Prod])-Commits[[#This Row],[DateCommit]]</f>
        <v>110</v>
      </c>
    </row>
    <row r="3" spans="1:4" x14ac:dyDescent="0.25">
      <c r="A3" s="15">
        <v>55295</v>
      </c>
      <c r="B3" s="16">
        <v>45896</v>
      </c>
      <c r="C3" s="15">
        <v>1</v>
      </c>
      <c r="D3" s="4">
        <f>_xlfn.XLOOKUP(Commits[[#This Row],[DeploymentID]],Deployments[DeploymentID],Deployments[Prod])-Commits[[#This Row],[DateCommit]]</f>
        <v>0</v>
      </c>
    </row>
    <row r="4" spans="1:4" x14ac:dyDescent="0.25">
      <c r="A4" s="15">
        <v>55255</v>
      </c>
      <c r="B4" s="16">
        <v>45896</v>
      </c>
      <c r="C4" s="15">
        <v>2</v>
      </c>
      <c r="D4" s="4">
        <f>_xlfn.XLOOKUP(Commits[[#This Row],[DeploymentID]],Deployments[DeploymentID],Deployments[Prod])-Commits[[#This Row],[DateCommit]]</f>
        <v>0</v>
      </c>
    </row>
    <row r="5" spans="1:4" x14ac:dyDescent="0.25">
      <c r="A5" s="15">
        <v>55554</v>
      </c>
      <c r="B5" s="16">
        <v>45898</v>
      </c>
      <c r="C5" s="15">
        <v>3</v>
      </c>
      <c r="D5" s="4">
        <f>_xlfn.XLOOKUP(Commits[[#This Row],[DeploymentID]],Deployments[DeploymentID],Deployments[Prod])-Commits[[#This Row],[DateCommit]]</f>
        <v>0</v>
      </c>
    </row>
    <row r="6" spans="1:4" x14ac:dyDescent="0.25">
      <c r="A6" s="15">
        <v>55549</v>
      </c>
      <c r="B6" s="16">
        <v>45898</v>
      </c>
      <c r="C6" s="15">
        <v>4</v>
      </c>
      <c r="D6" s="4">
        <f>_xlfn.XLOOKUP(Commits[[#This Row],[DeploymentID]],Deployments[DeploymentID],Deployments[Prod])-Commits[[#This Row],[DateCommit]]</f>
        <v>0</v>
      </c>
    </row>
    <row r="7" spans="1:4" x14ac:dyDescent="0.25">
      <c r="A7" s="15">
        <v>55776</v>
      </c>
      <c r="B7" s="16">
        <v>45898</v>
      </c>
      <c r="C7" s="15">
        <v>7</v>
      </c>
      <c r="D7" s="4">
        <f>_xlfn.XLOOKUP(Commits[[#This Row],[DeploymentID]],Deployments[DeploymentID],Deployments[Prod])-Commits[[#This Row],[DateCommit]]</f>
        <v>7</v>
      </c>
    </row>
    <row r="8" spans="1:4" x14ac:dyDescent="0.25">
      <c r="A8" s="15">
        <v>55704</v>
      </c>
      <c r="B8" s="16">
        <v>45901</v>
      </c>
      <c r="C8" s="15">
        <v>5</v>
      </c>
      <c r="D8" s="4">
        <f>_xlfn.XLOOKUP(Commits[[#This Row],[DeploymentID]],Deployments[DeploymentID],Deployments[Prod])-Commits[[#This Row],[DateCommit]]</f>
        <v>0</v>
      </c>
    </row>
    <row r="9" spans="1:4" x14ac:dyDescent="0.25">
      <c r="A9" s="15">
        <v>59631</v>
      </c>
      <c r="B9" s="16">
        <v>45901</v>
      </c>
      <c r="C9" s="15">
        <v>28</v>
      </c>
      <c r="D9" s="4">
        <f>_xlfn.XLOOKUP(Commits[[#This Row],[DeploymentID]],Deployments[DeploymentID],Deployments[Prod])-Commits[[#This Row],[DateCommit]]</f>
        <v>35</v>
      </c>
    </row>
    <row r="10" spans="1:4" x14ac:dyDescent="0.25">
      <c r="A10" s="15">
        <v>55926</v>
      </c>
      <c r="B10" s="16">
        <v>45902</v>
      </c>
      <c r="C10" s="15">
        <v>6</v>
      </c>
      <c r="D10" s="4">
        <f>_xlfn.XLOOKUP(Commits[[#This Row],[DeploymentID]],Deployments[DeploymentID],Deployments[Prod])-Commits[[#This Row],[DateCommit]]</f>
        <v>0</v>
      </c>
    </row>
    <row r="11" spans="1:4" x14ac:dyDescent="0.25">
      <c r="A11" s="15">
        <v>58630</v>
      </c>
      <c r="B11" s="16">
        <v>45925</v>
      </c>
      <c r="C11" s="15">
        <v>8</v>
      </c>
      <c r="D11" s="4">
        <f>_xlfn.XLOOKUP(Commits[[#This Row],[DeploymentID]],Deployments[DeploymentID],Deployments[Prod])-Commits[[#This Row],[DateCommit]]</f>
        <v>1</v>
      </c>
    </row>
    <row r="12" spans="1:4" x14ac:dyDescent="0.25">
      <c r="A12" s="15">
        <v>58632</v>
      </c>
      <c r="B12" s="16">
        <v>45925</v>
      </c>
      <c r="C12" s="15">
        <v>25</v>
      </c>
      <c r="D12" s="4">
        <f>_xlfn.XLOOKUP(Commits[[#This Row],[DeploymentID]],Deployments[DeploymentID],Deployments[Prod])-Commits[[#This Row],[DateCommit]]</f>
        <v>7</v>
      </c>
    </row>
    <row r="13" spans="1:4" x14ac:dyDescent="0.25">
      <c r="A13" s="15">
        <v>59009</v>
      </c>
      <c r="B13" s="16">
        <v>45929</v>
      </c>
      <c r="C13" s="15">
        <v>9</v>
      </c>
      <c r="D13" s="4">
        <f>_xlfn.XLOOKUP(Commits[[#This Row],[DeploymentID]],Deployments[DeploymentID],Deployments[Prod])-Commits[[#This Row],[DateCommit]]</f>
        <v>0</v>
      </c>
    </row>
    <row r="14" spans="1:4" x14ac:dyDescent="0.25">
      <c r="A14" s="15">
        <v>59012</v>
      </c>
      <c r="B14" s="16">
        <v>45929</v>
      </c>
      <c r="C14" s="15">
        <v>10</v>
      </c>
      <c r="D14" s="4">
        <f>_xlfn.XLOOKUP(Commits[[#This Row],[DeploymentID]],Deployments[DeploymentID],Deployments[Prod])-Commits[[#This Row],[DateCommit]]</f>
        <v>0</v>
      </c>
    </row>
    <row r="15" spans="1:4" x14ac:dyDescent="0.25">
      <c r="A15" s="15">
        <v>59025</v>
      </c>
      <c r="B15" s="16">
        <v>45929</v>
      </c>
      <c r="C15" s="15">
        <v>13</v>
      </c>
      <c r="D15" s="4">
        <f>_xlfn.XLOOKUP(Commits[[#This Row],[DeploymentID]],Deployments[DeploymentID],Deployments[Prod])-Commits[[#This Row],[DateCommit]]</f>
        <v>1</v>
      </c>
    </row>
    <row r="16" spans="1:4" x14ac:dyDescent="0.25">
      <c r="A16" s="15">
        <v>59008</v>
      </c>
      <c r="B16" s="16">
        <v>45929</v>
      </c>
      <c r="C16" s="15">
        <v>11</v>
      </c>
      <c r="D16" s="4">
        <f>_xlfn.XLOOKUP(Commits[[#This Row],[DeploymentID]],Deployments[DeploymentID],Deployments[Prod])-Commits[[#This Row],[DateCommit]]</f>
        <v>0</v>
      </c>
    </row>
    <row r="17" spans="1:4" x14ac:dyDescent="0.25">
      <c r="A17" s="15">
        <v>58995</v>
      </c>
      <c r="B17" s="16">
        <v>45929</v>
      </c>
      <c r="C17" s="15">
        <v>14</v>
      </c>
      <c r="D17" s="4">
        <f>_xlfn.XLOOKUP(Commits[[#This Row],[DeploymentID]],Deployments[DeploymentID],Deployments[Prod])-Commits[[#This Row],[DateCommit]]</f>
        <v>1</v>
      </c>
    </row>
    <row r="18" spans="1:4" x14ac:dyDescent="0.25">
      <c r="A18" s="15">
        <v>59201</v>
      </c>
      <c r="B18" s="16">
        <v>45929</v>
      </c>
      <c r="C18" s="15">
        <v>15</v>
      </c>
      <c r="D18" s="4">
        <f>_xlfn.XLOOKUP(Commits[[#This Row],[DeploymentID]],Deployments[DeploymentID],Deployments[Prod])-Commits[[#This Row],[DateCommit]]</f>
        <v>2</v>
      </c>
    </row>
    <row r="19" spans="1:4" x14ac:dyDescent="0.25">
      <c r="A19" s="15">
        <v>59212</v>
      </c>
      <c r="B19" s="16">
        <v>45929</v>
      </c>
      <c r="C19" s="15">
        <v>16</v>
      </c>
      <c r="D19" s="4">
        <f>_xlfn.XLOOKUP(Commits[[#This Row],[DeploymentID]],Deployments[DeploymentID],Deployments[Prod])-Commits[[#This Row],[DateCommit]]</f>
        <v>2</v>
      </c>
    </row>
    <row r="20" spans="1:4" x14ac:dyDescent="0.25">
      <c r="A20" s="15">
        <v>59219</v>
      </c>
      <c r="B20" s="16">
        <v>45929</v>
      </c>
      <c r="C20" s="15">
        <v>19</v>
      </c>
      <c r="D20" s="4">
        <f>_xlfn.XLOOKUP(Commits[[#This Row],[DeploymentID]],Deployments[DeploymentID],Deployments[Prod])-Commits[[#This Row],[DateCommit]]</f>
        <v>2</v>
      </c>
    </row>
    <row r="21" spans="1:4" x14ac:dyDescent="0.25">
      <c r="A21" s="15">
        <v>59021</v>
      </c>
      <c r="B21" s="16">
        <v>45929</v>
      </c>
      <c r="C21" s="15">
        <v>20</v>
      </c>
      <c r="D21" s="4">
        <f>_xlfn.XLOOKUP(Commits[[#This Row],[DeploymentID]],Deployments[DeploymentID],Deployments[Prod])-Commits[[#This Row],[DateCommit]]</f>
        <v>2</v>
      </c>
    </row>
    <row r="22" spans="1:4" x14ac:dyDescent="0.25">
      <c r="A22" s="15">
        <v>59222</v>
      </c>
      <c r="B22" s="16">
        <v>45929</v>
      </c>
      <c r="C22" s="15">
        <v>21</v>
      </c>
      <c r="D22" s="4">
        <f>_xlfn.XLOOKUP(Commits[[#This Row],[DeploymentID]],Deployments[DeploymentID],Deployments[Prod])-Commits[[#This Row],[DateCommit]]</f>
        <v>2</v>
      </c>
    </row>
    <row r="23" spans="1:4" x14ac:dyDescent="0.25">
      <c r="A23" s="15">
        <v>59223</v>
      </c>
      <c r="B23" s="16">
        <v>45929</v>
      </c>
      <c r="C23" s="15">
        <v>22</v>
      </c>
      <c r="D23" s="4">
        <f>_xlfn.XLOOKUP(Commits[[#This Row],[DeploymentID]],Deployments[DeploymentID],Deployments[Prod])-Commits[[#This Row],[DateCommit]]</f>
        <v>2</v>
      </c>
    </row>
    <row r="24" spans="1:4" x14ac:dyDescent="0.25">
      <c r="A24" s="15">
        <v>59239</v>
      </c>
      <c r="B24" s="16">
        <v>45929</v>
      </c>
      <c r="C24" s="15">
        <v>24</v>
      </c>
      <c r="D24" s="18">
        <f>_xlfn.XLOOKUP(Commits[[#This Row],[DeploymentID]],Deployments[DeploymentID],Deployments[Prod])-Commits[[#This Row],[DateCommit]]</f>
        <v>3</v>
      </c>
    </row>
    <row r="25" spans="1:4" x14ac:dyDescent="0.25">
      <c r="A25" s="15">
        <v>59207</v>
      </c>
      <c r="B25" s="16">
        <v>45931</v>
      </c>
      <c r="C25" s="15">
        <v>17</v>
      </c>
      <c r="D25" s="18">
        <f>_xlfn.XLOOKUP(Commits[[#This Row],[DeploymentID]],Deployments[DeploymentID],Deployments[Prod])-Commits[[#This Row],[DateCommit]]</f>
        <v>0</v>
      </c>
    </row>
    <row r="26" spans="1:4" x14ac:dyDescent="0.25">
      <c r="A26" s="15">
        <v>59209</v>
      </c>
      <c r="B26" s="16">
        <v>45931</v>
      </c>
      <c r="C26" s="15">
        <v>18</v>
      </c>
      <c r="D26" s="18">
        <f>_xlfn.XLOOKUP(Commits[[#This Row],[DeploymentID]],Deployments[DeploymentID],Deployments[Prod])-Commits[[#This Row],[DateCommit]]</f>
        <v>0</v>
      </c>
    </row>
    <row r="27" spans="1:4" x14ac:dyDescent="0.25">
      <c r="A27" s="15">
        <v>59444</v>
      </c>
      <c r="B27" s="16">
        <v>45932</v>
      </c>
      <c r="C27" s="15">
        <v>23</v>
      </c>
      <c r="D27" s="18">
        <f>_xlfn.XLOOKUP(Commits[[#This Row],[DeploymentID]],Deployments[DeploymentID],Deployments[Prod])-Commits[[#This Row],[DateCommit]]</f>
        <v>0</v>
      </c>
    </row>
    <row r="28" spans="1:4" x14ac:dyDescent="0.25">
      <c r="A28" s="15">
        <v>59376</v>
      </c>
      <c r="B28" s="16">
        <v>45932</v>
      </c>
      <c r="C28" s="15">
        <v>26</v>
      </c>
      <c r="D28" s="18">
        <f>_xlfn.XLOOKUP(Commits[[#This Row],[DeploymentID]],Deployments[DeploymentID],Deployments[Prod])-Commits[[#This Row],[DateCommit]]</f>
        <v>0</v>
      </c>
    </row>
    <row r="29" spans="1:4" x14ac:dyDescent="0.25">
      <c r="A29" s="15">
        <v>60614</v>
      </c>
      <c r="B29" s="16">
        <v>45936</v>
      </c>
      <c r="C29" s="15">
        <v>29</v>
      </c>
      <c r="D29" s="18">
        <f>_xlfn.XLOOKUP(Commits[[#This Row],[DeploymentID]],Deployments[DeploymentID],Deployments[Prod])-Commits[[#This Row],[DateCommit]]</f>
        <v>7</v>
      </c>
    </row>
    <row r="30" spans="1:4" x14ac:dyDescent="0.25">
      <c r="A30" s="15">
        <v>59732</v>
      </c>
      <c r="B30" s="16">
        <v>45936</v>
      </c>
      <c r="C30" s="15">
        <v>27</v>
      </c>
      <c r="D30" s="18">
        <f>_xlfn.XLOOKUP(Commits[[#This Row],[DeploymentID]],Deployments[DeploymentID],Deployments[Prod])-Commits[[#This Row],[DateCommit]]</f>
        <v>0</v>
      </c>
    </row>
    <row r="31" spans="1:4" x14ac:dyDescent="0.25">
      <c r="A31" s="15">
        <v>63139</v>
      </c>
      <c r="B31" s="16">
        <v>45961</v>
      </c>
      <c r="C31" s="15">
        <v>30</v>
      </c>
      <c r="D31" s="18">
        <f>_xlfn.XLOOKUP(Commits[[#This Row],[DeploymentID]],Deployments[DeploymentID],Deployments[Prod])-Commits[[#This Row],[DateCommit]]</f>
        <v>0</v>
      </c>
    </row>
    <row r="32" spans="1:4" x14ac:dyDescent="0.25">
      <c r="A32" s="15">
        <v>63136</v>
      </c>
      <c r="B32" s="16">
        <v>45961</v>
      </c>
      <c r="C32" s="15">
        <v>31</v>
      </c>
      <c r="D32" s="18">
        <f>_xlfn.XLOOKUP(Commits[[#This Row],[DeploymentID]],Deployments[DeploymentID],Deployments[Prod])-Commits[[#This Row],[DateCommit]]</f>
        <v>0</v>
      </c>
    </row>
    <row r="33" spans="1:4" x14ac:dyDescent="0.25">
      <c r="A33" s="15">
        <v>63137</v>
      </c>
      <c r="B33" s="16">
        <v>45961</v>
      </c>
      <c r="C33" s="15">
        <v>32</v>
      </c>
      <c r="D33" s="18">
        <f>_xlfn.XLOOKUP(Commits[[#This Row],[DeploymentID]],Deployments[DeploymentID],Deployments[Prod])-Commits[[#This Row],[DateCommit]]</f>
        <v>0</v>
      </c>
    </row>
    <row r="34" spans="1:4" x14ac:dyDescent="0.25">
      <c r="A34" s="15">
        <v>63187</v>
      </c>
      <c r="B34" s="16">
        <v>45961</v>
      </c>
      <c r="C34" s="15">
        <v>33</v>
      </c>
      <c r="D34" s="18">
        <f>_xlfn.XLOOKUP(Commits[[#This Row],[DeploymentID]],Deployments[DeploymentID],Deployments[Prod])-Commits[[#This Row],[DateCommit]]</f>
        <v>3</v>
      </c>
    </row>
    <row r="35" spans="1:4" x14ac:dyDescent="0.25">
      <c r="A35" s="15">
        <v>63801</v>
      </c>
      <c r="B35" s="16">
        <v>45966</v>
      </c>
      <c r="C35" s="15">
        <v>34</v>
      </c>
      <c r="D35" s="18">
        <f>_xlfn.XLOOKUP(Commits[[#This Row],[DeploymentID]],Deployments[DeploymentID],Deployments[Prod])-Commits[[#This Row],[DateCommit]]</f>
        <v>0</v>
      </c>
    </row>
    <row r="36" spans="1:4" x14ac:dyDescent="0.25">
      <c r="A36" s="15">
        <v>63988</v>
      </c>
      <c r="B36" s="16">
        <v>45967</v>
      </c>
      <c r="C36" s="15">
        <v>35</v>
      </c>
      <c r="D36" s="18">
        <f>_xlfn.XLOOKUP(Commits[[#This Row],[DeploymentID]],Deployments[DeploymentID],Deployments[Prod])-Commits[[#This Row],[DateCommit]]</f>
        <v>0</v>
      </c>
    </row>
    <row r="37" spans="1:4" x14ac:dyDescent="0.25">
      <c r="A37" s="15">
        <v>64101</v>
      </c>
      <c r="B37" s="16">
        <v>45968</v>
      </c>
      <c r="C37" s="15">
        <v>36</v>
      </c>
      <c r="D37" s="18">
        <f>_xlfn.XLOOKUP(Commits[[#This Row],[DeploymentID]],Deployments[DeploymentID],Deployments[Prod])-Commits[[#This Row],[DateCommit]]</f>
        <v>5</v>
      </c>
    </row>
    <row r="38" spans="1:4" x14ac:dyDescent="0.25">
      <c r="A38" s="15">
        <v>71544</v>
      </c>
      <c r="B38" s="16">
        <v>45979</v>
      </c>
      <c r="C38" s="15">
        <v>51</v>
      </c>
      <c r="D38" s="18">
        <f>_xlfn.XLOOKUP(Commits[[#This Row],[DeploymentID]],Deployments[DeploymentID],Deployments[Prod])-Commits[[#This Row],[DateCommit]]</f>
        <v>69</v>
      </c>
    </row>
    <row r="39" spans="1:4" x14ac:dyDescent="0.25">
      <c r="A39" s="15">
        <v>66531</v>
      </c>
      <c r="B39" s="16">
        <v>45987</v>
      </c>
      <c r="C39" s="15">
        <v>38</v>
      </c>
      <c r="D39" s="18">
        <f>_xlfn.XLOOKUP(Commits[[#This Row],[DeploymentID]],Deployments[DeploymentID],Deployments[Prod])-Commits[[#This Row],[DateCommit]]</f>
        <v>7</v>
      </c>
    </row>
    <row r="40" spans="1:4" x14ac:dyDescent="0.25">
      <c r="A40" s="15">
        <v>67092</v>
      </c>
      <c r="B40" s="16">
        <v>45992</v>
      </c>
      <c r="C40" s="15">
        <v>39</v>
      </c>
      <c r="D40" s="18">
        <f>_xlfn.XLOOKUP(Commits[[#This Row],[DeploymentID]],Deployments[DeploymentID],Deployments[Prod])-Commits[[#This Row],[DateCommit]]</f>
        <v>3</v>
      </c>
    </row>
    <row r="41" spans="1:4" x14ac:dyDescent="0.25">
      <c r="A41" s="15">
        <v>67043</v>
      </c>
      <c r="B41" s="16">
        <v>45994</v>
      </c>
      <c r="C41" s="15">
        <v>37</v>
      </c>
      <c r="D41" s="18">
        <f>_xlfn.XLOOKUP(Commits[[#This Row],[DeploymentID]],Deployments[DeploymentID],Deployments[Prod])-Commits[[#This Row],[DateCommit]]</f>
        <v>0</v>
      </c>
    </row>
    <row r="42" spans="1:4" x14ac:dyDescent="0.25">
      <c r="A42" s="15">
        <v>67187</v>
      </c>
      <c r="B42" s="16">
        <v>45995</v>
      </c>
      <c r="C42" s="15">
        <v>41</v>
      </c>
      <c r="D42" s="18">
        <f>_xlfn.XLOOKUP(Commits[[#This Row],[DeploymentID]],Deployments[DeploymentID],Deployments[Prod])-Commits[[#This Row],[DateCommit]]</f>
        <v>1</v>
      </c>
    </row>
    <row r="43" spans="1:4" x14ac:dyDescent="0.25">
      <c r="A43" s="15">
        <v>67175</v>
      </c>
      <c r="B43" s="16">
        <v>45995</v>
      </c>
      <c r="C43" s="15">
        <v>42</v>
      </c>
      <c r="D43" s="18">
        <f>_xlfn.XLOOKUP(Commits[[#This Row],[DeploymentID]],Deployments[DeploymentID],Deployments[Prod])-Commits[[#This Row],[DateCommit]]</f>
        <v>1</v>
      </c>
    </row>
    <row r="44" spans="1:4" x14ac:dyDescent="0.25">
      <c r="A44" s="15">
        <v>67161</v>
      </c>
      <c r="B44" s="16">
        <v>45995</v>
      </c>
      <c r="C44" s="15">
        <v>40</v>
      </c>
      <c r="D44" s="18">
        <f>_xlfn.XLOOKUP(Commits[[#This Row],[DeploymentID]],Deployments[DeploymentID],Deployments[Prod])-Commits[[#This Row],[DateCommit]]</f>
        <v>0</v>
      </c>
    </row>
    <row r="45" spans="1:4" x14ac:dyDescent="0.25">
      <c r="A45" s="15">
        <v>67182</v>
      </c>
      <c r="B45" s="16">
        <v>45995</v>
      </c>
      <c r="C45" s="15">
        <v>43</v>
      </c>
      <c r="D45" s="18">
        <f>_xlfn.XLOOKUP(Commits[[#This Row],[DeploymentID]],Deployments[DeploymentID],Deployments[Prod])-Commits[[#This Row],[DateCommit]]</f>
        <v>1</v>
      </c>
    </row>
    <row r="46" spans="1:4" x14ac:dyDescent="0.25">
      <c r="A46" s="15">
        <v>70670</v>
      </c>
      <c r="B46" s="16">
        <v>46035</v>
      </c>
      <c r="C46" s="15">
        <v>44</v>
      </c>
      <c r="D46" s="18">
        <f>_xlfn.XLOOKUP(Commits[[#This Row],[DeploymentID]],Deployments[DeploymentID],Deployments[Prod])-Commits[[#This Row],[DateCommit]]</f>
        <v>2</v>
      </c>
    </row>
    <row r="47" spans="1:4" x14ac:dyDescent="0.25">
      <c r="A47" s="15">
        <v>71517</v>
      </c>
      <c r="B47" s="16">
        <v>46037</v>
      </c>
      <c r="C47" s="15">
        <v>48</v>
      </c>
      <c r="D47" s="18">
        <f>_xlfn.XLOOKUP(Commits[[#This Row],[DeploymentID]],Deployments[DeploymentID],Deployments[Prod])-Commits[[#This Row],[DateCommit]]</f>
        <v>7</v>
      </c>
    </row>
    <row r="48" spans="1:4" x14ac:dyDescent="0.25">
      <c r="A48" s="15">
        <v>71145</v>
      </c>
      <c r="B48" s="16">
        <v>46037</v>
      </c>
      <c r="C48" s="15">
        <v>47</v>
      </c>
      <c r="D48" s="18">
        <f>_xlfn.XLOOKUP(Commits[[#This Row],[DeploymentID]],Deployments[DeploymentID],Deployments[Prod])-Commits[[#This Row],[DateCommit]]</f>
        <v>5</v>
      </c>
    </row>
    <row r="49" spans="1:4" x14ac:dyDescent="0.25">
      <c r="A49" s="15">
        <v>70783</v>
      </c>
      <c r="B49" s="16">
        <v>46037</v>
      </c>
      <c r="C49" s="15">
        <v>45</v>
      </c>
      <c r="D49" s="18">
        <f>_xlfn.XLOOKUP(Commits[[#This Row],[DeploymentID]],Deployments[DeploymentID],Deployments[Prod])-Commits[[#This Row],[DateCommit]]</f>
        <v>0</v>
      </c>
    </row>
    <row r="50" spans="1:4" x14ac:dyDescent="0.25">
      <c r="A50" s="15">
        <v>70772</v>
      </c>
      <c r="B50" s="16">
        <v>46037</v>
      </c>
      <c r="C50" s="15">
        <v>46</v>
      </c>
      <c r="D50" s="18">
        <f>_xlfn.XLOOKUP(Commits[[#This Row],[DeploymentID]],Deployments[DeploymentID],Deployments[Prod])-Commits[[#This Row],[DateCommit]]</f>
        <v>0</v>
      </c>
    </row>
    <row r="51" spans="1:4" x14ac:dyDescent="0.25">
      <c r="A51" s="15">
        <v>71542</v>
      </c>
      <c r="B51" s="16">
        <v>46042</v>
      </c>
      <c r="C51" s="15">
        <v>49</v>
      </c>
      <c r="D51" s="18">
        <f>_xlfn.XLOOKUP(Commits[[#This Row],[DeploymentID]],Deployments[DeploymentID],Deployments[Prod])-Commits[[#This Row],[DateCommit]]</f>
        <v>3</v>
      </c>
    </row>
    <row r="52" spans="1:4" x14ac:dyDescent="0.25">
      <c r="A52" s="15">
        <v>71693</v>
      </c>
      <c r="B52" s="16">
        <v>46045</v>
      </c>
      <c r="C52" s="15">
        <v>50</v>
      </c>
      <c r="D52" s="18">
        <f>_xlfn.XLOOKUP(Commits[[#This Row],[DeploymentID]],Deployments[DeploymentID],Deployments[Prod])-Commits[[#This Row],[DateCommit]]</f>
        <v>3</v>
      </c>
    </row>
    <row r="53" spans="1:4" x14ac:dyDescent="0.25">
      <c r="A53" s="15">
        <v>73955</v>
      </c>
      <c r="B53" s="16">
        <v>46055</v>
      </c>
      <c r="C53" s="15">
        <v>58</v>
      </c>
      <c r="D53" s="18">
        <f>_xlfn.XLOOKUP(Commits[[#This Row],[DeploymentID]],Deployments[DeploymentID],Deployments[Prod])-Commits[[#This Row],[DateCommit]]</f>
        <v>14</v>
      </c>
    </row>
    <row r="54" spans="1:4" x14ac:dyDescent="0.25">
      <c r="A54" s="15">
        <v>67096</v>
      </c>
      <c r="B54" s="16">
        <v>46058</v>
      </c>
      <c r="C54" s="15">
        <v>52</v>
      </c>
      <c r="D54" s="18">
        <f>_xlfn.XLOOKUP(Commits[[#This Row],[DeploymentID]],Deployments[DeploymentID],Deployments[Prod])-Commits[[#This Row],[DateCommit]]</f>
        <v>6</v>
      </c>
    </row>
    <row r="55" spans="1:4" x14ac:dyDescent="0.25">
      <c r="A55" s="15">
        <v>73715</v>
      </c>
      <c r="B55" s="16">
        <v>46064</v>
      </c>
      <c r="C55" s="15">
        <v>53</v>
      </c>
      <c r="D55" s="18">
        <f>_xlfn.XLOOKUP(Commits[[#This Row],[DeploymentID]],Deployments[DeploymentID],Deployments[Prod])-Commits[[#This Row],[DateCommit]]</f>
        <v>0</v>
      </c>
    </row>
    <row r="56" spans="1:4" x14ac:dyDescent="0.25">
      <c r="A56" s="15">
        <v>73737</v>
      </c>
      <c r="B56" s="16">
        <v>46064</v>
      </c>
      <c r="C56" s="15">
        <v>54</v>
      </c>
      <c r="D56" s="18">
        <f>_xlfn.XLOOKUP(Commits[[#This Row],[DeploymentID]],Deployments[DeploymentID],Deployments[Prod])-Commits[[#This Row],[DateCommit]]</f>
        <v>0</v>
      </c>
    </row>
    <row r="57" spans="1:4" x14ac:dyDescent="0.25">
      <c r="A57" s="15">
        <v>73907</v>
      </c>
      <c r="B57" s="16">
        <v>46065</v>
      </c>
      <c r="C57" s="15">
        <v>55</v>
      </c>
      <c r="D57" s="18">
        <f>_xlfn.XLOOKUP(Commits[[#This Row],[DeploymentID]],Deployments[DeploymentID],Deployments[Prod])-Commits[[#This Row],[DateCommit]]</f>
        <v>0</v>
      </c>
    </row>
    <row r="58" spans="1:4" x14ac:dyDescent="0.25">
      <c r="A58" s="15">
        <v>73919</v>
      </c>
      <c r="B58" s="16">
        <v>46065</v>
      </c>
      <c r="C58" s="15">
        <v>56</v>
      </c>
      <c r="D58" s="18">
        <f>_xlfn.XLOOKUP(Commits[[#This Row],[DeploymentID]],Deployments[DeploymentID],Deployments[Prod])-Commits[[#This Row],[DateCommit]]</f>
        <v>0</v>
      </c>
    </row>
    <row r="59" spans="1:4" x14ac:dyDescent="0.25">
      <c r="A59" s="15">
        <v>73949</v>
      </c>
      <c r="B59" s="16">
        <v>46065</v>
      </c>
      <c r="C59" s="15">
        <v>57</v>
      </c>
      <c r="D59" s="18">
        <f>_xlfn.XLOOKUP(Commits[[#This Row],[DeploymentID]],Deployments[DeploymentID],Deployments[Prod])-Commits[[#This Row],[DateCommit]]</f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52-1849-463A-8E56-114036E04BF5}">
  <dimension ref="A1:E19"/>
  <sheetViews>
    <sheetView workbookViewId="0">
      <selection activeCell="B1" sqref="B1:B1048576"/>
    </sheetView>
  </sheetViews>
  <sheetFormatPr defaultRowHeight="15" x14ac:dyDescent="0.25"/>
  <cols>
    <col min="1" max="1" width="10.5703125" bestFit="1" customWidth="1"/>
    <col min="2" max="2" width="14.42578125" style="2" customWidth="1"/>
    <col min="3" max="3" width="18" customWidth="1"/>
    <col min="4" max="4" width="18" style="6" customWidth="1"/>
    <col min="5" max="5" width="18" style="14" customWidth="1"/>
  </cols>
  <sheetData>
    <row r="1" spans="1:5" x14ac:dyDescent="0.25">
      <c r="A1" t="s">
        <v>7</v>
      </c>
      <c r="B1" s="2" t="s">
        <v>8</v>
      </c>
      <c r="C1" t="s">
        <v>9</v>
      </c>
      <c r="D1" s="6" t="s">
        <v>6</v>
      </c>
      <c r="E1" s="14" t="s">
        <v>10</v>
      </c>
    </row>
    <row r="2" spans="1:5" x14ac:dyDescent="0.25">
      <c r="A2" s="15">
        <v>1</v>
      </c>
      <c r="B2" s="16">
        <v>46042</v>
      </c>
      <c r="C2" s="15">
        <v>47</v>
      </c>
      <c r="D2" s="6">
        <f>_xlfn.XLOOKUP(Issues[[#This Row],[Fixed-ReleaseID]],Deployments[DeploymentID],Deployments[Prod])-Issues[[#This Row],[Report Date]]</f>
        <v>0</v>
      </c>
      <c r="E2" s="14">
        <f>_xlfn.XLOOKUP(Issues[[#This Row],[Fixed-ReleaseID]],Deployments[DeploymentID],Deployments[Prod])</f>
        <v>46042</v>
      </c>
    </row>
    <row r="3" spans="1:5" x14ac:dyDescent="0.25">
      <c r="A3" s="15">
        <v>6</v>
      </c>
      <c r="B3" s="16">
        <v>46044</v>
      </c>
      <c r="C3" s="15">
        <v>49</v>
      </c>
      <c r="D3" s="6">
        <f>_xlfn.XLOOKUP(Issues[[#This Row],[Fixed-ReleaseID]],Deployments[DeploymentID],Deployments[Prod])-Issues[[#This Row],[Report Date]]</f>
        <v>1</v>
      </c>
      <c r="E3" s="14">
        <f>_xlfn.XLOOKUP(Issues[[#This Row],[Fixed-ReleaseID]],Deployments[DeploymentID],Deployments[Prod])</f>
        <v>46045</v>
      </c>
    </row>
    <row r="4" spans="1:5" x14ac:dyDescent="0.25">
      <c r="A4" s="15">
        <v>7</v>
      </c>
      <c r="B4" s="16">
        <v>46048</v>
      </c>
      <c r="C4" s="15">
        <v>50</v>
      </c>
      <c r="D4" s="6">
        <f>_xlfn.XLOOKUP(Issues[[#This Row],[Fixed-ReleaseID]],Deployments[DeploymentID],Deployments[Prod])-Issues[[#This Row],[Report Date]]</f>
        <v>0</v>
      </c>
      <c r="E4" s="14">
        <f>_xlfn.XLOOKUP(Issues[[#This Row],[Fixed-ReleaseID]],Deployments[DeploymentID],Deployments[Prod])</f>
        <v>46048</v>
      </c>
    </row>
    <row r="5" spans="1:5" x14ac:dyDescent="0.25">
      <c r="A5" s="15">
        <v>8</v>
      </c>
      <c r="B5" s="16">
        <v>46048</v>
      </c>
      <c r="C5" s="15">
        <v>50</v>
      </c>
      <c r="D5" s="6">
        <f>_xlfn.XLOOKUP(Issues[[#This Row],[Fixed-ReleaseID]],Deployments[DeploymentID],Deployments[Prod])-Issues[[#This Row],[Report Date]]</f>
        <v>0</v>
      </c>
      <c r="E5" s="14">
        <f>_xlfn.XLOOKUP(Issues[[#This Row],[Fixed-ReleaseID]],Deployments[DeploymentID],Deployments[Prod])</f>
        <v>46048</v>
      </c>
    </row>
    <row r="6" spans="1:5" x14ac:dyDescent="0.25">
      <c r="A6" s="15">
        <v>31</v>
      </c>
      <c r="B6" s="16">
        <v>46062</v>
      </c>
      <c r="C6" s="15">
        <v>58</v>
      </c>
      <c r="D6" s="6">
        <f>_xlfn.XLOOKUP(Issues[[#This Row],[Fixed-ReleaseID]],Deployments[DeploymentID],Deployments[Prod])-Issues[[#This Row],[Report Date]]</f>
        <v>7</v>
      </c>
      <c r="E6" s="14">
        <f>_xlfn.XLOOKUP(Issues[[#This Row],[Fixed-ReleaseID]],Deployments[DeploymentID],Deployments[Prod])</f>
        <v>46069</v>
      </c>
    </row>
    <row r="7" spans="1:5" x14ac:dyDescent="0.25">
      <c r="A7" s="15">
        <v>36</v>
      </c>
      <c r="B7" s="16">
        <v>46064</v>
      </c>
      <c r="C7" s="15">
        <v>52</v>
      </c>
      <c r="D7" s="6">
        <f>_xlfn.XLOOKUP(Issues[[#This Row],[Fixed-ReleaseID]],Deployments[DeploymentID],Deployments[Prod])-Issues[[#This Row],[Report Date]]</f>
        <v>0</v>
      </c>
      <c r="E7" s="14">
        <f>_xlfn.XLOOKUP(Issues[[#This Row],[Fixed-ReleaseID]],Deployments[DeploymentID],Deployments[Prod])</f>
        <v>46064</v>
      </c>
    </row>
    <row r="8" spans="1:5" x14ac:dyDescent="0.25">
      <c r="A8" s="15">
        <v>37</v>
      </c>
      <c r="B8" s="16">
        <v>46064</v>
      </c>
      <c r="C8" s="15">
        <v>52</v>
      </c>
      <c r="D8" s="6">
        <f>_xlfn.XLOOKUP(Issues[[#This Row],[Fixed-ReleaseID]],Deployments[DeploymentID],Deployments[Prod])-Issues[[#This Row],[Report Date]]</f>
        <v>0</v>
      </c>
      <c r="E8" s="14">
        <f>_xlfn.XLOOKUP(Issues[[#This Row],[Fixed-ReleaseID]],Deployments[DeploymentID],Deployments[Prod])</f>
        <v>46064</v>
      </c>
    </row>
    <row r="9" spans="1:5" x14ac:dyDescent="0.25">
      <c r="A9" s="15">
        <v>38</v>
      </c>
      <c r="B9" s="16">
        <v>46064</v>
      </c>
      <c r="C9" s="15">
        <v>52</v>
      </c>
      <c r="D9" s="6">
        <f>_xlfn.XLOOKUP(Issues[[#This Row],[Fixed-ReleaseID]],Deployments[DeploymentID],Deployments[Prod])-Issues[[#This Row],[Report Date]]</f>
        <v>0</v>
      </c>
      <c r="E9" s="14">
        <f>_xlfn.XLOOKUP(Issues[[#This Row],[Fixed-ReleaseID]],Deployments[DeploymentID],Deployments[Prod])</f>
        <v>46064</v>
      </c>
    </row>
    <row r="10" spans="1:5" x14ac:dyDescent="0.25">
      <c r="A10" s="15">
        <v>39</v>
      </c>
      <c r="B10" s="16">
        <v>46064</v>
      </c>
      <c r="C10" s="15">
        <v>52</v>
      </c>
      <c r="D10" s="6">
        <f>_xlfn.XLOOKUP(Issues[[#This Row],[Fixed-ReleaseID]],Deployments[DeploymentID],Deployments[Prod])-Issues[[#This Row],[Report Date]]</f>
        <v>0</v>
      </c>
      <c r="E10" s="14">
        <f>_xlfn.XLOOKUP(Issues[[#This Row],[Fixed-ReleaseID]],Deployments[DeploymentID],Deployments[Prod])</f>
        <v>46064</v>
      </c>
    </row>
    <row r="11" spans="1:5" x14ac:dyDescent="0.25">
      <c r="A11" s="15">
        <v>40</v>
      </c>
      <c r="B11" s="16">
        <v>46065</v>
      </c>
      <c r="C11" s="15">
        <v>55</v>
      </c>
      <c r="D11" s="6">
        <f>_xlfn.XLOOKUP(Issues[[#This Row],[Fixed-ReleaseID]],Deployments[DeploymentID],Deployments[Prod])-Issues[[#This Row],[Report Date]]</f>
        <v>0</v>
      </c>
      <c r="E11" s="14">
        <f>_xlfn.XLOOKUP(Issues[[#This Row],[Fixed-ReleaseID]],Deployments[DeploymentID],Deployments[Prod])</f>
        <v>46065</v>
      </c>
    </row>
    <row r="12" spans="1:5" x14ac:dyDescent="0.25">
      <c r="A12" s="15">
        <v>41</v>
      </c>
      <c r="B12" s="16">
        <v>46065</v>
      </c>
      <c r="C12" s="15">
        <v>55</v>
      </c>
      <c r="D12" s="6">
        <f>_xlfn.XLOOKUP(Issues[[#This Row],[Fixed-ReleaseID]],Deployments[DeploymentID],Deployments[Prod])-Issues[[#This Row],[Report Date]]</f>
        <v>0</v>
      </c>
      <c r="E12" s="14">
        <f>_xlfn.XLOOKUP(Issues[[#This Row],[Fixed-ReleaseID]],Deployments[DeploymentID],Deployments[Prod])</f>
        <v>46065</v>
      </c>
    </row>
    <row r="13" spans="1:5" x14ac:dyDescent="0.25">
      <c r="A13" s="15">
        <v>42</v>
      </c>
      <c r="B13" s="16">
        <v>46065</v>
      </c>
      <c r="C13" s="15">
        <v>55</v>
      </c>
      <c r="D13" s="6">
        <f>_xlfn.XLOOKUP(Issues[[#This Row],[Fixed-ReleaseID]],Deployments[DeploymentID],Deployments[Prod])-Issues[[#This Row],[Report Date]]</f>
        <v>0</v>
      </c>
      <c r="E13" s="14">
        <f>_xlfn.XLOOKUP(Issues[[#This Row],[Fixed-ReleaseID]],Deployments[DeploymentID],Deployments[Prod])</f>
        <v>46065</v>
      </c>
    </row>
    <row r="14" spans="1:5" x14ac:dyDescent="0.25">
      <c r="A14" s="15">
        <v>43</v>
      </c>
      <c r="B14" s="16">
        <v>46065</v>
      </c>
      <c r="C14" s="15">
        <v>55</v>
      </c>
      <c r="D14" s="6">
        <f>_xlfn.XLOOKUP(Issues[[#This Row],[Fixed-ReleaseID]],Deployments[DeploymentID],Deployments[Prod])-Issues[[#This Row],[Report Date]]</f>
        <v>0</v>
      </c>
      <c r="E14" s="14">
        <f>_xlfn.XLOOKUP(Issues[[#This Row],[Fixed-ReleaseID]],Deployments[DeploymentID],Deployments[Prod])</f>
        <v>46065</v>
      </c>
    </row>
    <row r="15" spans="1:5" x14ac:dyDescent="0.25">
      <c r="A15" s="15">
        <v>44</v>
      </c>
      <c r="B15" s="16">
        <v>46069</v>
      </c>
      <c r="C15" s="15">
        <v>58</v>
      </c>
      <c r="D15" s="6">
        <f>_xlfn.XLOOKUP(Issues[[#This Row],[Fixed-ReleaseID]],Deployments[DeploymentID],Deployments[Prod])-Issues[[#This Row],[Report Date]]</f>
        <v>0</v>
      </c>
      <c r="E15" s="14">
        <f>_xlfn.XLOOKUP(Issues[[#This Row],[Fixed-ReleaseID]],Deployments[DeploymentID],Deployments[Prod])</f>
        <v>46069</v>
      </c>
    </row>
    <row r="16" spans="1:5" x14ac:dyDescent="0.25">
      <c r="A16" s="15">
        <v>45</v>
      </c>
      <c r="B16" s="16">
        <v>46069</v>
      </c>
      <c r="C16" s="15">
        <v>58</v>
      </c>
      <c r="D16" s="6">
        <f>_xlfn.XLOOKUP(Issues[[#This Row],[Fixed-ReleaseID]],Deployments[DeploymentID],Deployments[Prod])-Issues[[#This Row],[Report Date]]</f>
        <v>0</v>
      </c>
      <c r="E16" s="14">
        <f>_xlfn.XLOOKUP(Issues[[#This Row],[Fixed-ReleaseID]],Deployments[DeploymentID],Deployments[Prod])</f>
        <v>46069</v>
      </c>
    </row>
    <row r="17" spans="1:5" x14ac:dyDescent="0.25">
      <c r="A17" s="15">
        <v>46</v>
      </c>
      <c r="B17" s="16">
        <v>46069</v>
      </c>
      <c r="C17" s="15">
        <v>58</v>
      </c>
      <c r="D17" s="6">
        <f>_xlfn.XLOOKUP(Issues[[#This Row],[Fixed-ReleaseID]],Deployments[DeploymentID],Deployments[Prod])-Issues[[#This Row],[Report Date]]</f>
        <v>0</v>
      </c>
      <c r="E17" s="14">
        <f>_xlfn.XLOOKUP(Issues[[#This Row],[Fixed-ReleaseID]],Deployments[DeploymentID],Deployments[Prod])</f>
        <v>46069</v>
      </c>
    </row>
    <row r="18" spans="1:5" x14ac:dyDescent="0.25">
      <c r="A18" s="15">
        <v>47</v>
      </c>
      <c r="B18" s="16">
        <v>46069</v>
      </c>
      <c r="C18" s="15">
        <v>58</v>
      </c>
      <c r="D18" s="6">
        <f>_xlfn.XLOOKUP(Issues[[#This Row],[Fixed-ReleaseID]],Deployments[DeploymentID],Deployments[Prod])-Issues[[#This Row],[Report Date]]</f>
        <v>0</v>
      </c>
      <c r="E18" s="14">
        <f>_xlfn.XLOOKUP(Issues[[#This Row],[Fixed-ReleaseID]],Deployments[DeploymentID],Deployments[Prod])</f>
        <v>46069</v>
      </c>
    </row>
    <row r="19" spans="1:5" x14ac:dyDescent="0.25">
      <c r="A19" s="15">
        <v>48</v>
      </c>
      <c r="B19" s="16">
        <v>46069</v>
      </c>
      <c r="C19" s="15">
        <v>58</v>
      </c>
      <c r="D19" s="6">
        <f>_xlfn.XLOOKUP(Issues[[#This Row],[Fixed-ReleaseID]],Deployments[DeploymentID],Deployments[Prod])-Issues[[#This Row],[Report Date]]</f>
        <v>0</v>
      </c>
      <c r="E19" s="14">
        <f>_xlfn.XLOOKUP(Issues[[#This Row],[Fixed-ReleaseID]],Deployments[DeploymentID],Deployments[Prod])</f>
        <v>46069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3503-4160-4CAF-A469-6949F87FE384}">
  <dimension ref="A1:XFD11"/>
  <sheetViews>
    <sheetView tabSelected="1" workbookViewId="0">
      <selection activeCell="T26" sqref="T26"/>
    </sheetView>
  </sheetViews>
  <sheetFormatPr defaultRowHeight="15" x14ac:dyDescent="0.25"/>
  <cols>
    <col min="1" max="1" width="24" customWidth="1"/>
    <col min="3" max="3" width="9.28515625" bestFit="1" customWidth="1"/>
    <col min="5" max="5" width="13.85546875" customWidth="1"/>
    <col min="6" max="6" width="9.28515625" bestFit="1" customWidth="1"/>
    <col min="7" max="7" width="10.42578125" customWidth="1"/>
    <col min="8" max="9" width="9.28515625" bestFit="1" customWidth="1"/>
    <col min="10" max="10" width="11.85546875" customWidth="1"/>
    <col min="11" max="13" width="11.5703125" bestFit="1" customWidth="1"/>
  </cols>
  <sheetData>
    <row r="1" spans="1:32 16384:16384" s="1" customFormat="1" x14ac:dyDescent="0.25">
      <c r="A1" s="11"/>
      <c r="B1" s="11"/>
      <c r="C1" s="11"/>
      <c r="D1" s="1">
        <v>45597</v>
      </c>
      <c r="E1" s="1">
        <v>45627</v>
      </c>
      <c r="F1" s="1">
        <v>45658</v>
      </c>
      <c r="G1" s="1">
        <v>45689</v>
      </c>
      <c r="H1" s="1">
        <v>45717</v>
      </c>
      <c r="I1" s="1">
        <v>45748</v>
      </c>
      <c r="J1" s="1">
        <v>45778</v>
      </c>
      <c r="K1" s="1">
        <v>45809</v>
      </c>
      <c r="L1" s="1">
        <v>45839</v>
      </c>
      <c r="M1" s="1">
        <v>45870</v>
      </c>
      <c r="N1" s="1">
        <v>45901</v>
      </c>
      <c r="O1" s="1">
        <v>45931</v>
      </c>
      <c r="P1" s="1">
        <v>45962</v>
      </c>
      <c r="Q1" s="1">
        <v>45992</v>
      </c>
      <c r="R1" s="1">
        <v>46023</v>
      </c>
      <c r="S1" s="1">
        <v>46054</v>
      </c>
      <c r="T1" s="1">
        <v>46082</v>
      </c>
      <c r="U1" s="1">
        <v>46113</v>
      </c>
      <c r="V1" s="1">
        <v>46143</v>
      </c>
      <c r="W1" s="1">
        <v>46174</v>
      </c>
      <c r="X1" s="1">
        <v>46204</v>
      </c>
      <c r="Y1" s="1">
        <v>46235</v>
      </c>
      <c r="Z1" s="1">
        <v>46266</v>
      </c>
      <c r="AA1" s="1">
        <v>46296</v>
      </c>
      <c r="AB1" s="1">
        <v>46327</v>
      </c>
      <c r="AC1" s="1">
        <v>46357</v>
      </c>
      <c r="AD1" s="1">
        <v>46388</v>
      </c>
      <c r="AE1" s="1">
        <v>46419</v>
      </c>
      <c r="AF1" s="1">
        <v>46447</v>
      </c>
    </row>
    <row r="2" spans="1:32 16384:16384" s="12" customFormat="1" x14ac:dyDescent="0.25">
      <c r="A2" s="6" t="s">
        <v>11</v>
      </c>
      <c r="B2" s="6"/>
      <c r="C2" s="6">
        <f>(MAX(Deployments[Acc])-MIN(Deployments[Acc]))/COUNTA(Deployments[Acc])</f>
        <v>2.9827586206896552</v>
      </c>
      <c r="D2" s="12" t="s">
        <v>12</v>
      </c>
      <c r="E2" s="12">
        <f>COUNTIFS(Deployments[Acc],"&gt;="&amp;D$1,Deployments[Acc],"&lt;"&amp;E$1)</f>
        <v>0</v>
      </c>
      <c r="F2" s="12">
        <f>COUNTIFS(Deployments[Acc],"&gt;="&amp;E$1,Deployments[Acc],"&lt;"&amp;F$1)</f>
        <v>0</v>
      </c>
      <c r="G2" s="12">
        <f>COUNTIFS(Deployments[Acc],"&gt;="&amp;F$1,Deployments[Acc],"&lt;"&amp;G$1)</f>
        <v>0</v>
      </c>
      <c r="H2" s="12">
        <f>COUNTIFS(Deployments[Acc],"&gt;="&amp;G$1,Deployments[Acc],"&lt;"&amp;H$1)</f>
        <v>0</v>
      </c>
      <c r="I2" s="12">
        <f>COUNTIFS(Deployments[Acc],"&gt;="&amp;H$1,Deployments[Acc],"&lt;"&amp;I$1)</f>
        <v>0</v>
      </c>
      <c r="J2" s="12">
        <f>COUNTIFS(Deployments[Acc],"&gt;="&amp;I$1,Deployments[Acc],"&lt;"&amp;J$1)</f>
        <v>0</v>
      </c>
      <c r="K2" s="12">
        <f>COUNTIFS(Deployments[Acc],"&gt;="&amp;J$1,Deployments[Acc],"&lt;"&amp;K$1)</f>
        <v>0</v>
      </c>
      <c r="L2" s="12">
        <f>COUNTIFS(Deployments[Acc],"&gt;="&amp;K$1,Deployments[Acc],"&lt;"&amp;L$1)</f>
        <v>0</v>
      </c>
      <c r="M2" s="12">
        <f>COUNTIFS(Deployments[Acc],"&gt;="&amp;L$1,Deployments[Acc],"&lt;"&amp;M$1)</f>
        <v>0</v>
      </c>
      <c r="N2" s="12">
        <f>COUNTIFS(Deployments[Acc],"&gt;="&amp;M$1,Deployments[Acc],"&lt;"&amp;N$1)</f>
        <v>4</v>
      </c>
      <c r="O2" s="12">
        <f>COUNTIFS(Deployments[Acc],"&gt;="&amp;N$1,Deployments[Acc],"&lt;"&amp;O$1)</f>
        <v>10</v>
      </c>
      <c r="P2" s="12">
        <f>COUNTIFS(Deployments[Acc],"&gt;="&amp;O$1,Deployments[Acc],"&lt;"&amp;P$1)</f>
        <v>18</v>
      </c>
      <c r="Q2" s="12">
        <f>COUNTIFS(Deployments[Acc],"&gt;="&amp;P$1,Deployments[Acc],"&lt;"&amp;Q$1)</f>
        <v>4</v>
      </c>
      <c r="R2" s="12">
        <f>COUNTIFS(Deployments[Acc],"&gt;="&amp;Q$1,Deployments[Acc],"&lt;"&amp;R$1)</f>
        <v>7</v>
      </c>
      <c r="S2" s="12">
        <f>COUNTIFS(Deployments[Acc],"&gt;="&amp;R$1,Deployments[Acc],"&lt;"&amp;S$1)</f>
        <v>8</v>
      </c>
      <c r="T2" s="12">
        <f>COUNTIFS(Deployments[Acc],"&gt;="&amp;S$1,Deployments[Acc],"&lt;"&amp;T$1)</f>
        <v>7</v>
      </c>
      <c r="U2" s="12">
        <f>COUNTIFS(Deployments[Acc],"&gt;="&amp;T$1,Deployments[Acc],"&lt;"&amp;U$1)</f>
        <v>0</v>
      </c>
      <c r="V2" s="12">
        <f>COUNTIFS(Deployments[Acc],"&gt;="&amp;U$1,Deployments[Acc],"&lt;"&amp;V$1)</f>
        <v>0</v>
      </c>
      <c r="W2" s="12">
        <f>COUNTIFS(Deployments[Acc],"&gt;="&amp;V$1,Deployments[Acc],"&lt;"&amp;W$1)</f>
        <v>0</v>
      </c>
      <c r="X2" s="12">
        <f>COUNTIFS(Deployments[Acc],"&gt;="&amp;W$1,Deployments[Acc],"&lt;"&amp;X$1)</f>
        <v>0</v>
      </c>
      <c r="Y2" s="12">
        <f>COUNTIFS(Deployments[Acc],"&gt;="&amp;X$1,Deployments[Acc],"&lt;"&amp;Y$1)</f>
        <v>0</v>
      </c>
      <c r="Z2" s="12">
        <f>COUNTIFS(Deployments[Acc],"&gt;="&amp;Y$1,Deployments[Acc],"&lt;"&amp;Z$1)</f>
        <v>0</v>
      </c>
      <c r="AA2" s="12">
        <f>COUNTIFS(Deployments[Acc],"&gt;="&amp;Z$1,Deployments[Acc],"&lt;"&amp;AA$1)</f>
        <v>0</v>
      </c>
      <c r="AB2" s="12">
        <f>COUNTIFS(Deployments[Acc],"&gt;="&amp;AA$1,Deployments[Acc],"&lt;"&amp;AB$1)</f>
        <v>0</v>
      </c>
      <c r="AC2" s="12">
        <f>COUNTIFS(Deployments[Acc],"&gt;="&amp;AB$1,Deployments[Acc],"&lt;"&amp;AC$1)</f>
        <v>0</v>
      </c>
      <c r="AD2" s="12">
        <f>COUNTIFS(Deployments[Acc],"&gt;="&amp;AC$1,Deployments[Acc],"&lt;"&amp;AD$1)</f>
        <v>0</v>
      </c>
      <c r="AE2" s="12">
        <f>COUNTIFS(Deployments[Acc],"&gt;="&amp;AD$1,Deployments[Acc],"&lt;"&amp;AE$1)</f>
        <v>0</v>
      </c>
      <c r="AF2" s="12">
        <f>COUNTIFS(Deployments[Acc],"&gt;="&amp;AE$1,Deployments[Acc],"&lt;"&amp;AF$1)</f>
        <v>0</v>
      </c>
    </row>
    <row r="3" spans="1:32 16384:16384" x14ac:dyDescent="0.25">
      <c r="A3" s="5" t="s">
        <v>13</v>
      </c>
      <c r="B3" s="5"/>
      <c r="C3" s="6">
        <f>(MAX(Deployments[Prod])-MIN(Deployments[Prod]))/COUNTA(Deployments[Prod])</f>
        <v>2.9827586206896552</v>
      </c>
      <c r="D3" t="s">
        <v>12</v>
      </c>
      <c r="E3">
        <f>COUNTIFS(Deployments[Prod],"&gt;="&amp;D$1,Deployments[Prod],"&lt;"&amp;E$1)</f>
        <v>0</v>
      </c>
      <c r="F3">
        <f>COUNTIFS(Deployments[Prod],"&gt;="&amp;E$1,Deployments[Prod],"&lt;"&amp;F$1)</f>
        <v>0</v>
      </c>
      <c r="G3">
        <f>COUNTIFS(Deployments[Prod],"&gt;="&amp;F$1,Deployments[Prod],"&lt;"&amp;G$1)</f>
        <v>0</v>
      </c>
      <c r="H3">
        <f>COUNTIFS(Deployments[Prod],"&gt;="&amp;G$1,Deployments[Prod],"&lt;"&amp;H$1)</f>
        <v>0</v>
      </c>
      <c r="I3">
        <f>COUNTIFS(Deployments[Prod],"&gt;="&amp;H$1,Deployments[Prod],"&lt;"&amp;I$1)</f>
        <v>0</v>
      </c>
      <c r="J3">
        <f>COUNTIFS(Deployments[Prod],"&gt;="&amp;I$1,Deployments[Prod],"&lt;"&amp;J$1)</f>
        <v>0</v>
      </c>
      <c r="K3">
        <f>COUNTIFS(Deployments[Prod],"&gt;="&amp;J$1,Deployments[Prod],"&lt;"&amp;K$1)</f>
        <v>0</v>
      </c>
      <c r="L3">
        <f>COUNTIFS(Deployments[Prod],"&gt;="&amp;K$1,Deployments[Prod],"&lt;"&amp;L$1)</f>
        <v>0</v>
      </c>
      <c r="M3">
        <f>COUNTIFS(Deployments[Prod],"&gt;="&amp;L$1,Deployments[Prod],"&lt;"&amp;M$1)</f>
        <v>0</v>
      </c>
      <c r="N3">
        <f>COUNTIFS(Deployments[Prod],"&gt;="&amp;M$1,Deployments[Prod],"&lt;"&amp;N$1)</f>
        <v>4</v>
      </c>
      <c r="O3">
        <f>COUNTIFS(Deployments[Prod],"&gt;="&amp;N$1,Deployments[Prod],"&lt;"&amp;O$1)</f>
        <v>10</v>
      </c>
      <c r="P3">
        <f>COUNTIFS(Deployments[Prod],"&gt;="&amp;O$1,Deployments[Prod],"&lt;"&amp;P$1)</f>
        <v>18</v>
      </c>
      <c r="Q3">
        <f>COUNTIFS(Deployments[Prod],"&gt;="&amp;P$1,Deployments[Prod],"&lt;"&amp;Q$1)</f>
        <v>4</v>
      </c>
      <c r="R3">
        <f>COUNTIFS(Deployments[Prod],"&gt;="&amp;Q$1,Deployments[Prod],"&lt;"&amp;R$1)</f>
        <v>7</v>
      </c>
      <c r="S3">
        <f>COUNTIFS(Deployments[Prod],"&gt;="&amp;R$1,Deployments[Prod],"&lt;"&amp;S$1)</f>
        <v>8</v>
      </c>
      <c r="T3">
        <f>COUNTIFS(Deployments[Prod],"&gt;="&amp;S$1,Deployments[Prod],"&lt;"&amp;T$1)</f>
        <v>7</v>
      </c>
      <c r="U3">
        <f>COUNTIFS(Deployments[Prod],"&gt;="&amp;T$1,Deployments[Prod],"&lt;"&amp;U$1)</f>
        <v>0</v>
      </c>
      <c r="V3">
        <f>COUNTIFS(Deployments[Prod],"&gt;="&amp;U$1,Deployments[Prod],"&lt;"&amp;V$1)</f>
        <v>0</v>
      </c>
      <c r="W3">
        <f>COUNTIFS(Deployments[Prod],"&gt;="&amp;V$1,Deployments[Prod],"&lt;"&amp;W$1)</f>
        <v>0</v>
      </c>
      <c r="X3">
        <f>COUNTIFS(Deployments[Prod],"&gt;="&amp;W$1,Deployments[Prod],"&lt;"&amp;X$1)</f>
        <v>0</v>
      </c>
      <c r="Y3">
        <f>COUNTIFS(Deployments[Prod],"&gt;="&amp;X$1,Deployments[Prod],"&lt;"&amp;Y$1)</f>
        <v>0</v>
      </c>
      <c r="Z3">
        <f>COUNTIFS(Deployments[Prod],"&gt;="&amp;Y$1,Deployments[Prod],"&lt;"&amp;Z$1)</f>
        <v>0</v>
      </c>
      <c r="AA3">
        <f>COUNTIFS(Deployments[Prod],"&gt;="&amp;Z$1,Deployments[Prod],"&lt;"&amp;AA$1)</f>
        <v>0</v>
      </c>
      <c r="AB3">
        <f>COUNTIFS(Deployments[Prod],"&gt;="&amp;AA$1,Deployments[Prod],"&lt;"&amp;AB$1)</f>
        <v>0</v>
      </c>
      <c r="AC3">
        <f>COUNTIFS(Deployments[Prod],"&gt;="&amp;AB$1,Deployments[Prod],"&lt;"&amp;AC$1)</f>
        <v>0</v>
      </c>
      <c r="AD3">
        <f>COUNTIFS(Deployments[Prod],"&gt;="&amp;AC$1,Deployments[Prod],"&lt;"&amp;AD$1)</f>
        <v>0</v>
      </c>
      <c r="AE3">
        <f>COUNTIFS(Deployments[Prod],"&gt;="&amp;AD$1,Deployments[Prod],"&lt;"&amp;AE$1)</f>
        <v>0</v>
      </c>
      <c r="AF3">
        <f>COUNTIFS(Deployments[Prod],"&gt;="&amp;AE$1,Deployments[Prod],"&lt;"&amp;AF$1)</f>
        <v>0</v>
      </c>
    </row>
    <row r="4" spans="1:32 16384:16384" ht="15.75" thickBot="1" x14ac:dyDescent="0.3">
      <c r="A4" s="5" t="s">
        <v>14</v>
      </c>
      <c r="B4" s="5"/>
      <c r="C4" s="7">
        <f>SUM(Deployments[failed?])/COUNT(Deployments[failed?])</f>
        <v>6.8965517241379309E-2</v>
      </c>
      <c r="E4" s="7">
        <f>IFERROR(SUMIFS(Deployments[failed?],Deployments[Prod],"&gt;="&amp;D$1,Deployments[Prod],"&lt;"&amp;E$1)/COUNTIFS(Deployments[Prod],"&gt;="&amp;D$1,Deployments[Prod],"&lt;"&amp;E$1),0)</f>
        <v>0</v>
      </c>
      <c r="F4" s="7">
        <f>IFERROR(SUMIFS(Deployments[failed?],Deployments[Prod],"&gt;="&amp;E$1,Deployments[Prod],"&lt;"&amp;F$1)/COUNTIFS(Deployments[Prod],"&gt;="&amp;E$1,Deployments[Prod],"&lt;"&amp;F$1),0)</f>
        <v>0</v>
      </c>
      <c r="G4" s="7">
        <f>IFERROR(SUMIFS(Deployments[failed?],Deployments[Prod],"&gt;="&amp;F$1,Deployments[Prod],"&lt;"&amp;G$1)/COUNTIFS(Deployments[Prod],"&gt;="&amp;F$1,Deployments[Prod],"&lt;"&amp;G$1),0)</f>
        <v>0</v>
      </c>
      <c r="H4" s="7">
        <f>IFERROR(SUMIFS(Deployments[failed?],Deployments[Prod],"&gt;="&amp;G$1,Deployments[Prod],"&lt;"&amp;H$1)/COUNTIFS(Deployments[Prod],"&gt;="&amp;G$1,Deployments[Prod],"&lt;"&amp;H$1),0)</f>
        <v>0</v>
      </c>
      <c r="I4" s="7">
        <f>IFERROR(SUMIFS(Deployments[failed?],Deployments[Prod],"&gt;="&amp;H$1,Deployments[Prod],"&lt;"&amp;I$1)/COUNTIFS(Deployments[Prod],"&gt;="&amp;H$1,Deployments[Prod],"&lt;"&amp;I$1),0)</f>
        <v>0</v>
      </c>
      <c r="J4" s="7">
        <f>IFERROR(SUMIFS(Deployments[failed?],Deployments[Prod],"&gt;="&amp;I$1,Deployments[Prod],"&lt;"&amp;J$1)/COUNTIFS(Deployments[Prod],"&gt;="&amp;I$1,Deployments[Prod],"&lt;"&amp;J$1),0)</f>
        <v>0</v>
      </c>
      <c r="K4" s="7">
        <f>IFERROR(SUMIFS(Deployments[failed?],Deployments[Prod],"&gt;="&amp;J$1,Deployments[Prod],"&lt;"&amp;K$1)/COUNTIFS(Deployments[Prod],"&gt;="&amp;J$1,Deployments[Prod],"&lt;"&amp;K$1),0)</f>
        <v>0</v>
      </c>
      <c r="L4" s="7">
        <f>IFERROR(SUMIFS(Deployments[failed?],Deployments[Prod],"&gt;="&amp;K$1,Deployments[Prod],"&lt;"&amp;L$1)/COUNTIFS(Deployments[Prod],"&gt;="&amp;K$1,Deployments[Prod],"&lt;"&amp;L$1),0)</f>
        <v>0</v>
      </c>
      <c r="M4" s="7">
        <f>IFERROR(SUMIFS(Deployments[failed?],Deployments[Prod],"&gt;="&amp;L$1,Deployments[Prod],"&lt;"&amp;M$1)/COUNTIFS(Deployments[Prod],"&gt;="&amp;L$1,Deployments[Prod],"&lt;"&amp;M$1),0)</f>
        <v>0</v>
      </c>
      <c r="N4" s="7">
        <f>IFERROR(SUMIFS(Deployments[failed?],Deployments[Prod],"&gt;="&amp;M$1,Deployments[Prod],"&lt;"&amp;N$1)/COUNTIFS(Deployments[Prod],"&gt;="&amp;M$1,Deployments[Prod],"&lt;"&amp;N$1),0)</f>
        <v>0</v>
      </c>
      <c r="O4" s="7">
        <f>IFERROR(SUMIFS(Deployments[failed?],Deployments[Prod],"&gt;="&amp;N$1,Deployments[Prod],"&lt;"&amp;O$1)/COUNTIFS(Deployments[Prod],"&gt;="&amp;N$1,Deployments[Prod],"&lt;"&amp;O$1),0)</f>
        <v>0.1</v>
      </c>
      <c r="P4" s="7">
        <f>IFERROR(SUMIFS(Deployments[failed?],Deployments[Prod],"&gt;="&amp;O$1,Deployments[Prod],"&lt;"&amp;P$1)/COUNTIFS(Deployments[Prod],"&gt;="&amp;O$1,Deployments[Prod],"&lt;"&amp;P$1),0)</f>
        <v>0.16666666666666666</v>
      </c>
      <c r="Q4" s="7">
        <f>IFERROR(SUMIFS(Deployments[failed?],Deployments[Prod],"&gt;="&amp;P$1,Deployments[Prod],"&lt;"&amp;Q$1)/COUNTIFS(Deployments[Prod],"&gt;="&amp;P$1,Deployments[Prod],"&lt;"&amp;Q$1),0)</f>
        <v>0</v>
      </c>
      <c r="R4" s="7">
        <f>IFERROR(SUMIFS(Deployments[failed?],Deployments[Prod],"&gt;="&amp;Q$1,Deployments[Prod],"&lt;"&amp;R$1)/COUNTIFS(Deployments[Prod],"&gt;="&amp;Q$1,Deployments[Prod],"&lt;"&amp;R$1),0)</f>
        <v>0</v>
      </c>
      <c r="S4" s="7">
        <f>IFERROR(SUMIFS(Deployments[failed?],Deployments[Prod],"&gt;="&amp;R$1,Deployments[Prod],"&lt;"&amp;S$1)/COUNTIFS(Deployments[Prod],"&gt;="&amp;R$1,Deployments[Prod],"&lt;"&amp;S$1),0)</f>
        <v>0</v>
      </c>
      <c r="T4" s="7">
        <f>IFERROR(SUMIFS(Deployments[failed?],Deployments[Prod],"&gt;="&amp;S$1,Deployments[Prod],"&lt;"&amp;T$1)/COUNTIFS(Deployments[Prod],"&gt;="&amp;S$1,Deployments[Prod],"&lt;"&amp;T$1),0)</f>
        <v>0</v>
      </c>
      <c r="U4" s="7">
        <f>IFERROR(SUMIFS(Deployments[failed?],Deployments[Prod],"&gt;="&amp;T$1,Deployments[Prod],"&lt;"&amp;U$1)/COUNTIFS(Deployments[Prod],"&gt;="&amp;T$1,Deployments[Prod],"&lt;"&amp;U$1),0)</f>
        <v>0</v>
      </c>
      <c r="V4" s="7">
        <f>IFERROR(SUMIFS(Deployments[failed?],Deployments[Prod],"&gt;="&amp;U$1,Deployments[Prod],"&lt;"&amp;V$1)/COUNTIFS(Deployments[Prod],"&gt;="&amp;U$1,Deployments[Prod],"&lt;"&amp;V$1),0)</f>
        <v>0</v>
      </c>
      <c r="W4" s="7">
        <f>IFERROR(SUMIFS(Deployments[failed?],Deployments[Prod],"&gt;="&amp;V$1,Deployments[Prod],"&lt;"&amp;W$1)/COUNTIFS(Deployments[Prod],"&gt;="&amp;V$1,Deployments[Prod],"&lt;"&amp;W$1),0)</f>
        <v>0</v>
      </c>
      <c r="X4" s="7">
        <f>IFERROR(SUMIFS(Deployments[failed?],Deployments[Prod],"&gt;="&amp;W$1,Deployments[Prod],"&lt;"&amp;X$1)/COUNTIFS(Deployments[Prod],"&gt;="&amp;W$1,Deployments[Prod],"&lt;"&amp;X$1),0)</f>
        <v>0</v>
      </c>
      <c r="Y4" s="7">
        <f>IFERROR(SUMIFS(Deployments[failed?],Deployments[Prod],"&gt;="&amp;X$1,Deployments[Prod],"&lt;"&amp;Y$1)/COUNTIFS(Deployments[Prod],"&gt;="&amp;X$1,Deployments[Prod],"&lt;"&amp;Y$1),0)</f>
        <v>0</v>
      </c>
      <c r="Z4" s="7">
        <f>IFERROR(SUMIFS(Deployments[failed?],Deployments[Prod],"&gt;="&amp;Y$1,Deployments[Prod],"&lt;"&amp;Z$1)/COUNTIFS(Deployments[Prod],"&gt;="&amp;Y$1,Deployments[Prod],"&lt;"&amp;Z$1),0)</f>
        <v>0</v>
      </c>
      <c r="AA4" s="7">
        <f>IFERROR(SUMIFS(Deployments[failed?],Deployments[Prod],"&gt;="&amp;Z$1,Deployments[Prod],"&lt;"&amp;AA$1)/COUNTIFS(Deployments[Prod],"&gt;="&amp;Z$1,Deployments[Prod],"&lt;"&amp;AA$1),0)</f>
        <v>0</v>
      </c>
      <c r="AB4" s="7">
        <f>IFERROR(SUMIFS(Deployments[failed?],Deployments[Prod],"&gt;="&amp;AA$1,Deployments[Prod],"&lt;"&amp;AB$1)/COUNTIFS(Deployments[Prod],"&gt;="&amp;AA$1,Deployments[Prod],"&lt;"&amp;AB$1),0)</f>
        <v>0</v>
      </c>
      <c r="AC4" s="7">
        <f>IFERROR(SUMIFS(Deployments[failed?],Deployments[Prod],"&gt;="&amp;AB$1,Deployments[Prod],"&lt;"&amp;AC$1)/COUNTIFS(Deployments[Prod],"&gt;="&amp;AB$1,Deployments[Prod],"&lt;"&amp;AC$1),0)</f>
        <v>0</v>
      </c>
      <c r="AD4" s="7">
        <f>IFERROR(SUMIFS(Deployments[failed?],Deployments[Prod],"&gt;="&amp;AC$1,Deployments[Prod],"&lt;"&amp;AD$1)/COUNTIFS(Deployments[Prod],"&gt;="&amp;AC$1,Deployments[Prod],"&lt;"&amp;AD$1),0)</f>
        <v>0</v>
      </c>
      <c r="AE4" s="7">
        <f>IFERROR(SUMIFS(Deployments[failed?],Deployments[Prod],"&gt;="&amp;AD$1,Deployments[Prod],"&lt;"&amp;AE$1)/COUNTIFS(Deployments[Prod],"&gt;="&amp;AD$1,Deployments[Prod],"&lt;"&amp;AE$1),0)</f>
        <v>0</v>
      </c>
      <c r="AF4" s="7">
        <f>IFERROR(SUMIFS(Deployments[failed?],Deployments[Prod],"&gt;="&amp;AE$1,Deployments[Prod],"&lt;"&amp;AF$1)/COUNTIFS(Deployments[Prod],"&gt;="&amp;AE$1,Deployments[Prod],"&lt;"&amp;AF$1),0)</f>
        <v>0</v>
      </c>
    </row>
    <row r="5" spans="1:32 16384:16384" s="12" customFormat="1" ht="17.25" thickBot="1" x14ac:dyDescent="0.3">
      <c r="A5" s="6" t="s">
        <v>15</v>
      </c>
      <c r="B5" s="6"/>
      <c r="C5" s="6">
        <f>AVERAGE(Commits[DaysToRelease])</f>
        <v>5.431034482758621</v>
      </c>
      <c r="D5" s="12" t="s">
        <v>12</v>
      </c>
      <c r="E5" s="13">
        <f>IFERROR(AVERAGEIFS(Commits[DaysToRelease], Commits[DateCommit], "&gt;=" &amp; D$1, Commits[DateCommit], "&lt;" &amp; E$1), 0)</f>
        <v>0</v>
      </c>
      <c r="F5" s="13">
        <f>IFERROR(AVERAGEIFS(Commits[DaysToRelease], Commits[DateCommit], "&gt;=" &amp; E$1, Commits[DateCommit], "&lt;" &amp; F$1), 0)</f>
        <v>0</v>
      </c>
      <c r="G5" s="13">
        <f>IFERROR(AVERAGEIFS(Commits[DaysToRelease], Commits[DateCommit], "&gt;=" &amp; F$1, Commits[DateCommit], "&lt;" &amp; G$1), 0)</f>
        <v>0</v>
      </c>
      <c r="H5" s="13">
        <f>IFERROR(AVERAGEIFS(Commits[DaysToRelease], Commits[DateCommit], "&gt;=" &amp; G$1, Commits[DateCommit], "&lt;" &amp; H$1), 0)</f>
        <v>0</v>
      </c>
      <c r="I5" s="13">
        <f>IFERROR(AVERAGEIFS(Commits[DaysToRelease], Commits[DateCommit], "&gt;=" &amp; H$1, Commits[DateCommit], "&lt;" &amp; I$1), 0)</f>
        <v>0</v>
      </c>
      <c r="J5" s="13">
        <f>IFERROR(AVERAGEIFS(Commits[DaysToRelease], Commits[DateCommit], "&gt;=" &amp; I$1, Commits[DateCommit], "&lt;" &amp; J$1), 0)</f>
        <v>0</v>
      </c>
      <c r="K5" s="13">
        <f>IFERROR(AVERAGEIFS(Commits[DaysToRelease], Commits[DateCommit], "&gt;=" &amp; J$1, Commits[DateCommit], "&lt;" &amp; K$1), 0)</f>
        <v>0</v>
      </c>
      <c r="L5" s="13">
        <f>IFERROR(AVERAGEIFS(Commits[DaysToRelease], Commits[DateCommit], "&gt;=" &amp; K$1, Commits[DateCommit], "&lt;" &amp; L$1), 0)</f>
        <v>110</v>
      </c>
      <c r="M5" s="13">
        <f>IFERROR(AVERAGEIFS(Commits[DaysToRelease], Commits[DateCommit], "&gt;=" &amp; L$1, Commits[DateCommit], "&lt;" &amp; M$1), 0)</f>
        <v>0</v>
      </c>
      <c r="N5" s="13">
        <f>IFERROR(AVERAGEIFS(Commits[DaysToRelease], Commits[DateCommit], "&gt;=" &amp; M$1, Commits[DateCommit], "&lt;" &amp; N$1), 0)</f>
        <v>1.4</v>
      </c>
      <c r="O5" s="13">
        <f>IFERROR(AVERAGEIFS(Commits[DaysToRelease], Commits[DateCommit], "&gt;=" &amp; N$1, Commits[DateCommit], "&lt;" &amp; O$1), 0)</f>
        <v>3.5294117647058822</v>
      </c>
      <c r="P5" s="13">
        <f>IFERROR(AVERAGEIFS(Commits[DaysToRelease], Commits[DateCommit], "&gt;=" &amp; O$1, Commits[DateCommit], "&lt;" &amp; P$1), 0)</f>
        <v>1</v>
      </c>
      <c r="Q5" s="13">
        <f>IFERROR(AVERAGEIFS(Commits[DaysToRelease], Commits[DateCommit], "&gt;=" &amp; P$1, Commits[DateCommit], "&lt;" &amp; Q$1), 0)</f>
        <v>16.2</v>
      </c>
      <c r="R5" s="13">
        <f>IFERROR(AVERAGEIFS(Commits[DaysToRelease], Commits[DateCommit], "&gt;=" &amp; Q$1, Commits[DateCommit], "&lt;" &amp; R$1), 0)</f>
        <v>1</v>
      </c>
      <c r="S5" s="13">
        <f>IFERROR(AVERAGEIFS(Commits[DaysToRelease], Commits[DateCommit], "&gt;=" &amp; R$1, Commits[DateCommit], "&lt;" &amp; S$1), 0)</f>
        <v>2.8571428571428572</v>
      </c>
      <c r="T5" s="13">
        <f>IFERROR(AVERAGEIFS(Commits[DaysToRelease], Commits[DateCommit], "&gt;=" &amp; S$1, Commits[DateCommit], "&lt;" &amp; T$1), 0)</f>
        <v>3</v>
      </c>
      <c r="U5" s="13">
        <f>IFERROR(AVERAGEIFS(Commits[DaysToRelease], Commits[DateCommit], "&gt;=" &amp; T$1, Commits[DateCommit], "&lt;" &amp; U$1), 0)</f>
        <v>0</v>
      </c>
      <c r="V5" s="13">
        <f>IFERROR(AVERAGEIFS(Commits[DaysToRelease], Commits[DateCommit], "&gt;=" &amp; U$1, Commits[DateCommit], "&lt;" &amp; V$1), 0)</f>
        <v>0</v>
      </c>
      <c r="W5" s="13">
        <f>IFERROR(AVERAGEIFS(Commits[DaysToRelease], Commits[DateCommit], "&gt;=" &amp; V$1, Commits[DateCommit], "&lt;" &amp; W$1), 0)</f>
        <v>0</v>
      </c>
      <c r="X5" s="13">
        <f>IFERROR(AVERAGEIFS(Commits[DaysToRelease], Commits[DateCommit], "&gt;=" &amp; W$1, Commits[DateCommit], "&lt;" &amp; X$1), 0)</f>
        <v>0</v>
      </c>
      <c r="Y5" s="13">
        <f>IFERROR(AVERAGEIFS(Commits[DaysToRelease], Commits[DateCommit], "&gt;=" &amp; X$1, Commits[DateCommit], "&lt;" &amp; Y$1), 0)</f>
        <v>0</v>
      </c>
      <c r="Z5" s="13">
        <f>IFERROR(AVERAGEIFS(Commits[DaysToRelease], Commits[DateCommit], "&gt;=" &amp; Y$1, Commits[DateCommit], "&lt;" &amp; Z$1), 0)</f>
        <v>0</v>
      </c>
      <c r="AA5" s="13">
        <f>IFERROR(AVERAGEIFS(Commits[DaysToRelease], Commits[DateCommit], "&gt;=" &amp; Z$1, Commits[DateCommit], "&lt;" &amp; AA$1), 0)</f>
        <v>0</v>
      </c>
      <c r="AB5" s="13">
        <f>IFERROR(AVERAGEIFS(Commits[DaysToRelease], Commits[DateCommit], "&gt;=" &amp; AA$1, Commits[DateCommit], "&lt;" &amp; AB$1), 0)</f>
        <v>0</v>
      </c>
      <c r="AC5" s="13">
        <f>IFERROR(AVERAGEIFS(Commits[DaysToRelease], Commits[DateCommit], "&gt;=" &amp; AB$1, Commits[DateCommit], "&lt;" &amp; AC$1), 0)</f>
        <v>0</v>
      </c>
      <c r="AD5" s="13">
        <f>IFERROR(AVERAGEIFS(Commits[DaysToRelease], Commits[DateCommit], "&gt;=" &amp; AC$1, Commits[DateCommit], "&lt;" &amp; AD$1), 0)</f>
        <v>0</v>
      </c>
      <c r="AE5" s="13">
        <f>IFERROR(AVERAGEIFS(Commits[DaysToRelease], Commits[DateCommit], "&gt;=" &amp; AD$1, Commits[DateCommit], "&lt;" &amp; AE$1), 0)</f>
        <v>0</v>
      </c>
      <c r="AF5" s="13">
        <f>IFERROR(AVERAGEIFS(Commits[DaysToRelease], Commits[DateCommit], "&gt;=" &amp; AE$1, Commits[DateCommit], "&lt;" &amp; AF$1), 0)</f>
        <v>0</v>
      </c>
      <c r="XFD5" s="13" t="e">
        <f>AVERAGEIFS(Commits[DaysToRelease], Commits[DateCommit], "&gt;=" &amp; XFC$1, Commits[DateCommit], "&lt;" &amp; XFD$1)</f>
        <v>#DIV/0!</v>
      </c>
    </row>
    <row r="6" spans="1:32 16384:16384" ht="17.25" thickBot="1" x14ac:dyDescent="0.3">
      <c r="A6" s="5" t="s">
        <v>16</v>
      </c>
      <c r="B6" s="5"/>
      <c r="C6" s="5">
        <f>AVERAGE(Issues[DaysToRelease])</f>
        <v>0.44444444444444442</v>
      </c>
      <c r="D6" t="s">
        <v>12</v>
      </c>
      <c r="E6" s="13">
        <f>IFERROR(AVERAGEIFS(Issues[DaysToRelease], Issues[ReleaseDate], "&gt;=" &amp; D$1, Issues[ReleaseDate], "&lt;" &amp; E$1), 0)</f>
        <v>0</v>
      </c>
      <c r="F6" s="13">
        <f>IFERROR(AVERAGEIFS(Issues[DaysToRelease], Issues[ReleaseDate], "&gt;=" &amp; E$1, Issues[ReleaseDate], "&lt;" &amp; F$1), 0)</f>
        <v>0</v>
      </c>
      <c r="G6" s="13">
        <f>IFERROR(AVERAGEIFS(Issues[DaysToRelease], Issues[ReleaseDate], "&gt;=" &amp; F$1, Issues[ReleaseDate], "&lt;" &amp; G$1), 0)</f>
        <v>0</v>
      </c>
      <c r="H6" s="13">
        <f>IFERROR(AVERAGEIFS(Issues[DaysToRelease], Issues[ReleaseDate], "&gt;=" &amp; G$1, Issues[ReleaseDate], "&lt;" &amp; H$1), 0)</f>
        <v>0</v>
      </c>
      <c r="I6" s="13">
        <f>IFERROR(AVERAGEIFS(Issues[DaysToRelease], Issues[ReleaseDate], "&gt;=" &amp; H$1, Issues[ReleaseDate], "&lt;" &amp; I$1), 0)</f>
        <v>0</v>
      </c>
      <c r="J6" s="13">
        <f>IFERROR(AVERAGEIFS(Issues[DaysToRelease], Issues[ReleaseDate], "&gt;=" &amp; I$1, Issues[ReleaseDate], "&lt;" &amp; J$1), 0)</f>
        <v>0</v>
      </c>
      <c r="K6" s="13">
        <f>IFERROR(AVERAGEIFS(Issues[DaysToRelease], Issues[ReleaseDate], "&gt;=" &amp; J$1, Issues[ReleaseDate], "&lt;" &amp; K$1), 0)</f>
        <v>0</v>
      </c>
      <c r="L6" s="13">
        <f>IFERROR(AVERAGEIFS(Issues[DaysToRelease], Issues[ReleaseDate], "&gt;=" &amp; K$1, Issues[ReleaseDate], "&lt;" &amp; L$1), 0)</f>
        <v>0</v>
      </c>
      <c r="M6" s="13">
        <f>IFERROR(AVERAGEIFS(Issues[DaysToRelease], Issues[ReleaseDate], "&gt;=" &amp; L$1, Issues[ReleaseDate], "&lt;" &amp; M$1), 0)</f>
        <v>0</v>
      </c>
      <c r="N6" s="13">
        <f>IFERROR(AVERAGEIFS(Issues[DaysToRelease], Issues[ReleaseDate], "&gt;=" &amp; M$1, Issues[ReleaseDate], "&lt;" &amp; N$1), 0)</f>
        <v>0</v>
      </c>
      <c r="O6" s="13">
        <f>IFERROR(AVERAGEIFS(Issues[DaysToRelease], Issues[ReleaseDate], "&gt;=" &amp; N$1, Issues[ReleaseDate], "&lt;" &amp; O$1), 0)</f>
        <v>0</v>
      </c>
      <c r="P6" s="13">
        <f>IFERROR(AVERAGEIFS(Issues[DaysToRelease], Issues[ReleaseDate], "&gt;=" &amp; O$1, Issues[ReleaseDate], "&lt;" &amp; P$1), 0)</f>
        <v>0</v>
      </c>
      <c r="Q6" s="13">
        <f>IFERROR(AVERAGEIFS(Issues[DaysToRelease], Issues[ReleaseDate], "&gt;=" &amp; P$1, Issues[ReleaseDate], "&lt;" &amp; Q$1), 0)</f>
        <v>0</v>
      </c>
      <c r="R6" s="13">
        <f>IFERROR(AVERAGEIFS(Issues[DaysToRelease], Issues[ReleaseDate], "&gt;=" &amp; Q$1, Issues[ReleaseDate], "&lt;" &amp; R$1), 0)</f>
        <v>0</v>
      </c>
      <c r="S6" s="13">
        <f>IFERROR(AVERAGEIFS(Issues[DaysToRelease], Issues[ReleaseDate], "&gt;=" &amp; R$1, Issues[ReleaseDate], "&lt;" &amp; S$1), 0)</f>
        <v>0.25</v>
      </c>
      <c r="T6" s="13">
        <f>IFERROR(AVERAGEIFS(Issues[DaysToRelease], Issues[ReleaseDate], "&gt;=" &amp; S$1, Issues[ReleaseDate], "&lt;" &amp; T$1), 0)</f>
        <v>0.5</v>
      </c>
      <c r="U6" s="13">
        <f>IFERROR(AVERAGEIFS(Issues[DaysToRelease], Issues[ReleaseDate], "&gt;=" &amp; T$1, Issues[ReleaseDate], "&lt;" &amp; U$1), 0)</f>
        <v>0</v>
      </c>
      <c r="V6" s="13">
        <f>IFERROR(AVERAGEIFS(Issues[DaysToRelease], Issues[ReleaseDate], "&gt;=" &amp; U$1, Issues[ReleaseDate], "&lt;" &amp; V$1), 0)</f>
        <v>0</v>
      </c>
      <c r="W6" s="13">
        <f>IFERROR(AVERAGEIFS(Issues[DaysToRelease], Issues[ReleaseDate], "&gt;=" &amp; V$1, Issues[ReleaseDate], "&lt;" &amp; W$1), 0)</f>
        <v>0</v>
      </c>
      <c r="X6" s="13">
        <f>IFERROR(AVERAGEIFS(Issues[DaysToRelease], Issues[ReleaseDate], "&gt;=" &amp; W$1, Issues[ReleaseDate], "&lt;" &amp; X$1), 0)</f>
        <v>0</v>
      </c>
      <c r="Y6" s="13">
        <f>IFERROR(AVERAGEIFS(Issues[DaysToRelease], Issues[ReleaseDate], "&gt;=" &amp; X$1, Issues[ReleaseDate], "&lt;" &amp; Y$1), 0)</f>
        <v>0</v>
      </c>
      <c r="Z6" s="13">
        <f>IFERROR(AVERAGEIFS(Issues[DaysToRelease], Issues[ReleaseDate], "&gt;=" &amp; Y$1, Issues[ReleaseDate], "&lt;" &amp; Z$1), 0)</f>
        <v>0</v>
      </c>
      <c r="AA6" s="13">
        <f>IFERROR(AVERAGEIFS(Issues[DaysToRelease], Issues[ReleaseDate], "&gt;=" &amp; Z$1, Issues[ReleaseDate], "&lt;" &amp; AA$1), 0)</f>
        <v>0</v>
      </c>
      <c r="AB6" s="13">
        <f>IFERROR(AVERAGEIFS(Issues[DaysToRelease], Issues[ReleaseDate], "&gt;=" &amp; AA$1, Issues[ReleaseDate], "&lt;" &amp; AB$1), 0)</f>
        <v>0</v>
      </c>
      <c r="AC6" s="13">
        <f>IFERROR(AVERAGEIFS(Issues[DaysToRelease], Issues[ReleaseDate], "&gt;=" &amp; AB$1, Issues[ReleaseDate], "&lt;" &amp; AC$1), 0)</f>
        <v>0</v>
      </c>
      <c r="AD6" s="13">
        <f>IFERROR(AVERAGEIFS(Issues[DaysToRelease], Issues[ReleaseDate], "&gt;=" &amp; AC$1, Issues[ReleaseDate], "&lt;" &amp; AD$1), 0)</f>
        <v>0</v>
      </c>
      <c r="AE6" s="13">
        <f>IFERROR(AVERAGEIFS(Issues[DaysToRelease], Issues[ReleaseDate], "&gt;=" &amp; AD$1, Issues[ReleaseDate], "&lt;" &amp; AE$1), 0)</f>
        <v>0</v>
      </c>
      <c r="AF6" s="13">
        <f>IFERROR(AVERAGEIFS(Issues[DaysToRelease], Issues[ReleaseDate], "&gt;=" &amp; AE$1, Issues[ReleaseDate], "&lt;" &amp; AF$1), 0)</f>
        <v>0</v>
      </c>
    </row>
    <row r="7" spans="1:32 16384:16384" x14ac:dyDescent="0.25">
      <c r="A7" s="5"/>
      <c r="B7" s="5"/>
      <c r="C7" s="5"/>
    </row>
    <row r="8" spans="1:32 16384:16384" x14ac:dyDescent="0.25">
      <c r="A8" s="5"/>
      <c r="B8" s="5"/>
      <c r="C8" s="5"/>
    </row>
    <row r="9" spans="1:32 16384:16384" x14ac:dyDescent="0.25">
      <c r="A9" s="5"/>
      <c r="B9" s="5"/>
      <c r="C9" s="5"/>
    </row>
    <row r="10" spans="1:32 16384:16384" x14ac:dyDescent="0.25">
      <c r="A10" s="5"/>
      <c r="B10" s="5"/>
      <c r="C10" s="5"/>
    </row>
    <row r="11" spans="1:32 16384:16384" x14ac:dyDescent="0.25">
      <c r="A11" s="5"/>
      <c r="B11" s="5"/>
      <c r="C11" s="5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Deployments</vt:lpstr>
      <vt:lpstr>Commits</vt:lpstr>
      <vt:lpstr>Issues</vt:lpstr>
      <vt:lpstr>DORA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Florez Velasquez Juan (EXT)</cp:lastModifiedBy>
  <cp:revision/>
  <dcterms:created xsi:type="dcterms:W3CDTF">2026-02-13T12:16:10Z</dcterms:created>
  <dcterms:modified xsi:type="dcterms:W3CDTF">2026-02-19T11:42:05Z</dcterms:modified>
  <cp:category/>
  <cp:contentStatus/>
</cp:coreProperties>
</file>