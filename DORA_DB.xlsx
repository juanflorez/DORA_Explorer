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liagroup-my.sharepoint.com/personal/me3777_belgrid_net/Documents/Documents/"/>
    </mc:Choice>
  </mc:AlternateContent>
  <xr:revisionPtr revIDLastSave="0" documentId="8_{5504EC7D-B0AD-41CC-9CC4-F9C616B7F25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Deployments" sheetId="2" r:id="rId1"/>
    <sheet name="Commits" sheetId="3" r:id="rId2"/>
    <sheet name="Issues" sheetId="4" r:id="rId3"/>
    <sheet name="DORA" sheetId="5" r:id="rId4"/>
  </sheets>
  <definedNames>
    <definedName name="_xlcn.WorksheetConnection_DORA_DB.xlsxCommits" hidden="1">Commits[]</definedName>
    <definedName name="_xlcn.WorksheetConnection_DORA_DB.xlsxIssues" hidden="1">Issues[]</definedName>
    <definedName name="_xlcn.WorksheetConnection_DORA_DB.xlsxReleases" hidden="1">Deployments[]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mits" name="Commits" connection="WorksheetConnection_DORA_DB.xlsx!Commits"/>
          <x15:modelTable id="Releases" name="Releases" connection="WorksheetConnection_DORA_DB.xlsx!Releases"/>
          <x15:modelTable id="Issues" name="Issues" connection="WorksheetConnection_DORA_DB.xlsx!Issues"/>
        </x15:modelTables>
        <x15:modelRelationships>
          <x15:modelRelationship fromTable="Commits" fromColumn="ReleaseID" toTable="Releases" toColumn="ReleaseID"/>
          <x15:modelRelationship fromTable="Issues" fromColumn="ReleaseID" toTable="Releases" toColumn="Releas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5" l="1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E2" i="4"/>
  <c r="E3" i="4"/>
  <c r="D2" i="4"/>
  <c r="D3" i="4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XFD5" i="5"/>
  <c r="Q5" i="5"/>
  <c r="P5" i="5"/>
  <c r="O5" i="5"/>
  <c r="N5" i="5"/>
  <c r="M5" i="5"/>
  <c r="L5" i="5"/>
  <c r="K5" i="5"/>
  <c r="J5" i="5"/>
  <c r="I5" i="5"/>
  <c r="H5" i="5"/>
  <c r="G5" i="5"/>
  <c r="F5" i="5"/>
  <c r="E5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F3" i="5"/>
  <c r="G3" i="5"/>
  <c r="E3" i="5"/>
  <c r="C4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C3" i="5"/>
  <c r="C2" i="5"/>
  <c r="C5" i="5" l="1"/>
  <c r="C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4D877-D713-40FE-AF86-339B0ED27A6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1FE546C-786C-4D5E-A885-C29A95526E95}" name="WorksheetConnection_DORA_DB.xlsx!Commits" type="102" refreshedVersion="8" minRefreshableVersion="5">
    <extLst>
      <ext xmlns:x15="http://schemas.microsoft.com/office/spreadsheetml/2010/11/main" uri="{DE250136-89BD-433C-8126-D09CA5730AF9}">
        <x15:connection id="Commits">
          <x15:rangePr sourceName="_xlcn.WorksheetConnection_DORA_DB.xlsxCommits"/>
        </x15:connection>
      </ext>
    </extLst>
  </connection>
  <connection id="3" xr16:uid="{1236987B-213E-468F-95E6-3DE0AA80A9C0}" name="WorksheetConnection_DORA_DB.xlsx!Issues" type="102" refreshedVersion="8" minRefreshableVersion="5">
    <extLst>
      <ext xmlns:x15="http://schemas.microsoft.com/office/spreadsheetml/2010/11/main" uri="{DE250136-89BD-433C-8126-D09CA5730AF9}">
        <x15:connection id="Issues">
          <x15:rangePr sourceName="_xlcn.WorksheetConnection_DORA_DB.xlsxIssues"/>
        </x15:connection>
      </ext>
    </extLst>
  </connection>
  <connection id="4" xr16:uid="{B70615F9-D2BF-46C6-913B-C5B9065D0D75}" name="WorksheetConnection_DORA_DB.xlsx!Releases" type="102" refreshedVersion="8" minRefreshableVersion="5">
    <extLst>
      <ext xmlns:x15="http://schemas.microsoft.com/office/spreadsheetml/2010/11/main" uri="{DE250136-89BD-433C-8126-D09CA5730AF9}">
        <x15:connection id="Releases">
          <x15:rangePr sourceName="_xlcn.WorksheetConnection_DORA_DB.xlsxReleases"/>
        </x15:connection>
      </ext>
    </extLst>
  </connection>
</connections>
</file>

<file path=xl/sharedStrings.xml><?xml version="1.0" encoding="utf-8"?>
<sst xmlns="http://schemas.openxmlformats.org/spreadsheetml/2006/main" count="22" uniqueCount="17">
  <si>
    <t>DeploymentID</t>
  </si>
  <si>
    <t>Acc</t>
  </si>
  <si>
    <t>Prod</t>
  </si>
  <si>
    <t>failed?</t>
  </si>
  <si>
    <t>commit id</t>
  </si>
  <si>
    <t>DateCommit</t>
  </si>
  <si>
    <t>DaysToRelease</t>
  </si>
  <si>
    <t>Issue ID</t>
  </si>
  <si>
    <t>Report Date</t>
  </si>
  <si>
    <t>Fixed-ReleaseID</t>
  </si>
  <si>
    <t>Deployment Frequency ACC</t>
  </si>
  <si>
    <t>days</t>
  </si>
  <si>
    <t>Deployment Frequency PROD</t>
  </si>
  <si>
    <t>Failure Rate</t>
  </si>
  <si>
    <t>Cycle time</t>
  </si>
  <si>
    <t>MTTR</t>
  </si>
  <si>
    <t>ReleaseDate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</si>
</sst>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;@"/>
    <numFmt numFmtId="165" formatCode="dd\.mm\.yy;@"/>
    <numFmt numFmtId="166" formatCode="[$]dd/mm/yyyy;@" x16r2:formatCode16="[$-en-BE,1]dd/mm/yyyy;@"/>
    <numFmt numFmtId="167" formatCode="dd/mm/yy;@"/>
    <numFmt numFmtId="168" formatCode="d/mm/yyyy;@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0" fontId="0" fillId="2" borderId="0" xfId="0" applyNumberFormat="1" applyFill="1"/>
    <xf numFmtId="0" fontId="2" fillId="0" borderId="0" xfId="0" applyFont="1"/>
    <xf numFmtId="167" fontId="2" fillId="0" borderId="0" xfId="0" applyNumberFormat="1" applyFont="1"/>
    <xf numFmtId="1" fontId="2" fillId="2" borderId="0" xfId="0" applyNumberFormat="1" applyFont="1" applyFill="1"/>
    <xf numFmtId="165" fontId="0" fillId="2" borderId="0" xfId="0" applyNumberFormat="1" applyFill="1"/>
    <xf numFmtId="2" fontId="0" fillId="0" borderId="0" xfId="0" applyNumberFormat="1"/>
    <xf numFmtId="2" fontId="3" fillId="0" borderId="1" xfId="0" applyNumberFormat="1" applyFont="1" applyBorder="1" applyAlignment="1">
      <alignment horizontal="left" vertical="center" indent="1"/>
    </xf>
    <xf numFmtId="168" fontId="0" fillId="2" borderId="0" xfId="0" applyNumberFormat="1" applyFill="1"/>
  </cellXfs>
  <cellStyles count="1">
    <cellStyle name="Normal" xfId="0" builtinId="0"/>
  </cellStyles>
  <dxfs count="8">
    <dxf>
      <numFmt numFmtId="168" formatCode="d/mm/yyyy;@"/>
      <fill>
        <patternFill patternType="solid">
          <fgColor indexed="64"/>
          <bgColor theme="2" tint="-9.9978637043366805E-2"/>
        </patternFill>
      </fill>
    </dxf>
    <dxf>
      <numFmt numFmtId="2" formatCode="0.00"/>
      <fill>
        <patternFill patternType="solid">
          <fgColor indexed="64"/>
          <bgColor theme="2" tint="-9.9978637043366805E-2"/>
        </patternFill>
      </fill>
    </dxf>
    <dxf>
      <numFmt numFmtId="166" formatCode="[$]dd/mm/yyyy;@" x16r2:formatCode16="[$-en-BE,1]dd/mm/yyyy;@"/>
    </dxf>
    <dxf>
      <font>
        <color theme="1"/>
      </font>
      <numFmt numFmtId="1" formatCode="0"/>
      <fill>
        <patternFill patternType="solid">
          <fgColor indexed="64"/>
          <bgColor theme="2" tint="-9.9978637043366805E-2"/>
        </patternFill>
      </fill>
    </dxf>
    <dxf>
      <numFmt numFmtId="167" formatCode="dd/mm/yy;@"/>
    </dxf>
    <dxf>
      <font>
        <sz val="9"/>
      </font>
    </dxf>
    <dxf>
      <numFmt numFmtId="164" formatCode="d/m/yy;@"/>
    </dxf>
    <dxf>
      <numFmt numFmtId="165" formatCode="dd\.mm\.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52C7B-19E8-4FCA-884F-7E542B9F42CD}" name="Deployments" displayName="Deployments" ref="A1:D6" totalsRowShown="0">
  <autoFilter ref="A1:D6" xr:uid="{3EF52C7B-19E8-4FCA-884F-7E542B9F42CD}"/>
  <tableColumns count="4">
    <tableColumn id="1" xr3:uid="{14153FF6-64EA-4414-9474-7256C35B22BA}" name="DeploymentID"/>
    <tableColumn id="2" xr3:uid="{C4A45764-584C-4FC5-90BE-1EBE70D5C356}" name="Acc" dataDxfId="7"/>
    <tableColumn id="3" xr3:uid="{38964CE1-99E9-4B22-84CF-43CEAB837A24}" name="Prod" dataDxfId="6"/>
    <tableColumn id="4" xr3:uid="{388C7A94-9239-4790-8E71-1C4DE739BFE6}" name="fail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31327-3D37-4ED3-8FAA-50206470CBB8}" name="Commits" displayName="Commits" ref="A1:D23" totalsRowShown="0" headerRowDxfId="5">
  <autoFilter ref="A1:D23" xr:uid="{9BB31327-3D37-4ED3-8FAA-50206470CBB8}"/>
  <tableColumns count="4">
    <tableColumn id="1" xr3:uid="{2BA8827F-B2AB-47E8-930D-5D9B7638A8C5}" name="commit id"/>
    <tableColumn id="3" xr3:uid="{5FF0989D-94B8-4BDF-84CF-CBDC01127D12}" name="DateCommit" dataDxfId="4"/>
    <tableColumn id="2" xr3:uid="{330C393B-EA3C-4930-A597-BC24B75D308B}" name="DeploymentID"/>
    <tableColumn id="4" xr3:uid="{C42C73E0-A7C1-47EA-8C35-541BC5AE1B0E}" name="DaysToRelease" dataDxfId="3">
      <calculatedColumnFormula>_xlfn.XLOOKUP(Commits[[#This Row],[DeploymentID]],Deployments[DeploymentID],Deployments[Prod])-Commits[[#This Row],[DateCommit]]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8C64C6-CD91-4D13-B82F-AB79CB39A827}" name="Issues" displayName="Issues" ref="A1:E3" totalsRowShown="0">
  <autoFilter ref="A1:E3" xr:uid="{078C64C6-CD91-4D13-B82F-AB79CB39A827}"/>
  <tableColumns count="5">
    <tableColumn id="1" xr3:uid="{6E8DEEC0-4553-4EED-B3F0-F1601870A257}" name="Issue ID"/>
    <tableColumn id="2" xr3:uid="{4493AFEE-D4C3-4578-967E-67FC626EC368}" name="Report Date" dataDxfId="2"/>
    <tableColumn id="3" xr3:uid="{E555D9A0-9DB2-4C30-95B9-81634C1D9FF3}" name="Fixed-ReleaseID"/>
    <tableColumn id="4" xr3:uid="{542E0420-C726-45C1-8FA6-4F5B39B4EA9A}" name="DaysToRelease" dataDxfId="1">
      <calculatedColumnFormula>_xlfn.XLOOKUP(Issues[[#This Row],[Fixed-ReleaseID]],Deployments[DeploymentID],Deployments[Prod])-Issues[[#This Row],[Report Date]]</calculatedColumnFormula>
    </tableColumn>
    <tableColumn id="5" xr3:uid="{7216D17E-CF55-44DC-88A2-8CF652039E32}" name="ReleaseDate" dataDxfId="0">
      <calculatedColumnFormula>_xlfn.XLOOKUP(Issues[[#This Row],[Fixed-ReleaseID]],Deployments[DeploymentID],Deployments[Prod])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30B5-3763-4CB0-8BB4-6927D59557BF}">
  <dimension ref="A1:D7"/>
  <sheetViews>
    <sheetView workbookViewId="0">
      <selection activeCell="D4" sqref="D4"/>
    </sheetView>
  </sheetViews>
  <sheetFormatPr defaultRowHeight="14.25"/>
  <cols>
    <col min="1" max="1" width="16.875" customWidth="1"/>
    <col min="2" max="2" width="13.875" style="3" customWidth="1"/>
    <col min="3" max="3" width="14.375" customWidth="1"/>
    <col min="4" max="4" width="9.375" bestFit="1" customWidth="1"/>
  </cols>
  <sheetData>
    <row r="1" spans="1:4">
      <c r="A1" t="s">
        <v>0</v>
      </c>
      <c r="B1" s="3" t="s">
        <v>1</v>
      </c>
      <c r="C1" t="s">
        <v>2</v>
      </c>
      <c r="D1" t="s">
        <v>3</v>
      </c>
    </row>
    <row r="2" spans="1:4">
      <c r="A2">
        <v>1</v>
      </c>
      <c r="B2" s="3">
        <v>45660</v>
      </c>
      <c r="C2" s="1">
        <v>45662</v>
      </c>
      <c r="D2">
        <v>0</v>
      </c>
    </row>
    <row r="3" spans="1:4">
      <c r="A3">
        <v>2</v>
      </c>
      <c r="B3" s="3">
        <v>45667</v>
      </c>
      <c r="C3" s="1">
        <v>45667</v>
      </c>
      <c r="D3">
        <v>0</v>
      </c>
    </row>
    <row r="4" spans="1:4">
      <c r="A4">
        <v>3</v>
      </c>
      <c r="B4" s="3">
        <v>45701</v>
      </c>
      <c r="C4" s="2">
        <v>46069</v>
      </c>
      <c r="D4">
        <v>1</v>
      </c>
    </row>
    <row r="5" spans="1:4">
      <c r="A5">
        <v>4</v>
      </c>
      <c r="B5" s="3">
        <v>45750</v>
      </c>
      <c r="C5" s="1">
        <v>45754</v>
      </c>
      <c r="D5">
        <v>1</v>
      </c>
    </row>
    <row r="6" spans="1:4">
      <c r="A6">
        <v>5</v>
      </c>
      <c r="B6" s="3">
        <v>45783</v>
      </c>
      <c r="C6" s="1">
        <v>45785</v>
      </c>
      <c r="D6">
        <v>0</v>
      </c>
    </row>
    <row r="7" spans="1:4">
      <c r="C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6CE3-08EF-482D-A958-CA2E10522F22}">
  <dimension ref="A1:D23"/>
  <sheetViews>
    <sheetView workbookViewId="0">
      <selection activeCell="H8" sqref="H8"/>
    </sheetView>
  </sheetViews>
  <sheetFormatPr defaultRowHeight="14.25"/>
  <cols>
    <col min="1" max="1" width="12.25" customWidth="1"/>
    <col min="2" max="2" width="14" style="5" customWidth="1"/>
    <col min="3" max="3" width="15.25" customWidth="1"/>
    <col min="4" max="4" width="18.375" style="6" customWidth="1"/>
  </cols>
  <sheetData>
    <row r="1" spans="1:4" s="10" customFormat="1" ht="12">
      <c r="A1" s="10" t="s">
        <v>4</v>
      </c>
      <c r="B1" s="11" t="s">
        <v>5</v>
      </c>
      <c r="C1" s="10" t="s">
        <v>0</v>
      </c>
      <c r="D1" s="12" t="s">
        <v>6</v>
      </c>
    </row>
    <row r="2" spans="1:4">
      <c r="A2">
        <v>12</v>
      </c>
      <c r="B2" s="5">
        <v>45626</v>
      </c>
      <c r="C2">
        <v>1</v>
      </c>
      <c r="D2" s="6">
        <f>_xlfn.XLOOKUP(Commits[[#This Row],[DeploymentID]],Deployments[DeploymentID],Deployments[Prod])-Commits[[#This Row],[DateCommit]]</f>
        <v>36</v>
      </c>
    </row>
    <row r="3" spans="1:4">
      <c r="A3">
        <v>13</v>
      </c>
      <c r="B3" s="5">
        <v>45626</v>
      </c>
      <c r="C3">
        <v>1</v>
      </c>
      <c r="D3" s="6">
        <f>_xlfn.XLOOKUP(Commits[[#This Row],[DeploymentID]],Deployments[DeploymentID],Deployments[Prod])-Commits[[#This Row],[DateCommit]]</f>
        <v>36</v>
      </c>
    </row>
    <row r="4" spans="1:4">
      <c r="A4">
        <v>14</v>
      </c>
      <c r="B4" s="5">
        <v>45627</v>
      </c>
      <c r="C4">
        <v>1</v>
      </c>
      <c r="D4" s="6">
        <f>_xlfn.XLOOKUP(Commits[[#This Row],[DeploymentID]],Deployments[DeploymentID],Deployments[Prod])-Commits[[#This Row],[DateCommit]]</f>
        <v>35</v>
      </c>
    </row>
    <row r="5" spans="1:4">
      <c r="A5">
        <v>15</v>
      </c>
      <c r="B5" s="5">
        <v>45627</v>
      </c>
      <c r="C5">
        <v>1</v>
      </c>
      <c r="D5" s="6">
        <f>_xlfn.XLOOKUP(Commits[[#This Row],[DeploymentID]],Deployments[DeploymentID],Deployments[Prod])-Commits[[#This Row],[DateCommit]]</f>
        <v>35</v>
      </c>
    </row>
    <row r="6" spans="1:4">
      <c r="A6">
        <v>16</v>
      </c>
      <c r="B6" s="5">
        <v>45627</v>
      </c>
      <c r="C6">
        <v>1</v>
      </c>
      <c r="D6" s="6">
        <f>_xlfn.XLOOKUP(Commits[[#This Row],[DeploymentID]],Deployments[DeploymentID],Deployments[Prod])-Commits[[#This Row],[DateCommit]]</f>
        <v>35</v>
      </c>
    </row>
    <row r="7" spans="1:4">
      <c r="A7">
        <v>17</v>
      </c>
      <c r="B7" s="5">
        <v>45661</v>
      </c>
      <c r="C7">
        <v>2</v>
      </c>
      <c r="D7" s="6">
        <f>_xlfn.XLOOKUP(Commits[[#This Row],[DeploymentID]],Deployments[DeploymentID],Deployments[Prod])-Commits[[#This Row],[DateCommit]]</f>
        <v>6</v>
      </c>
    </row>
    <row r="8" spans="1:4">
      <c r="A8">
        <v>18</v>
      </c>
      <c r="B8" s="5">
        <v>45661</v>
      </c>
      <c r="C8">
        <v>2</v>
      </c>
      <c r="D8" s="6">
        <f>_xlfn.XLOOKUP(Commits[[#This Row],[DeploymentID]],Deployments[DeploymentID],Deployments[Prod])-Commits[[#This Row],[DateCommit]]</f>
        <v>6</v>
      </c>
    </row>
    <row r="9" spans="1:4">
      <c r="A9">
        <v>19</v>
      </c>
      <c r="B9" s="5">
        <v>45663</v>
      </c>
      <c r="C9">
        <v>2</v>
      </c>
      <c r="D9" s="6">
        <f>_xlfn.XLOOKUP(Commits[[#This Row],[DeploymentID]],Deployments[DeploymentID],Deployments[Prod])-Commits[[#This Row],[DateCommit]]</f>
        <v>4</v>
      </c>
    </row>
    <row r="10" spans="1:4">
      <c r="A10">
        <v>20</v>
      </c>
      <c r="B10" s="5">
        <v>45664</v>
      </c>
      <c r="C10">
        <v>2</v>
      </c>
      <c r="D10" s="6">
        <f>_xlfn.XLOOKUP(Commits[[#This Row],[DeploymentID]],Deployments[DeploymentID],Deployments[Prod])-Commits[[#This Row],[DateCommit]]</f>
        <v>3</v>
      </c>
    </row>
    <row r="11" spans="1:4">
      <c r="A11">
        <v>21</v>
      </c>
      <c r="B11" s="5">
        <v>45665</v>
      </c>
      <c r="C11">
        <v>5</v>
      </c>
      <c r="D11" s="6">
        <f>_xlfn.XLOOKUP(Commits[[#This Row],[DeploymentID]],Deployments[DeploymentID],Deployments[Prod])-Commits[[#This Row],[DateCommit]]</f>
        <v>120</v>
      </c>
    </row>
    <row r="12" spans="1:4">
      <c r="A12">
        <v>22</v>
      </c>
      <c r="B12" s="5">
        <v>45701</v>
      </c>
      <c r="C12">
        <v>5</v>
      </c>
      <c r="D12" s="6">
        <f>_xlfn.XLOOKUP(Commits[[#This Row],[DeploymentID]],Deployments[DeploymentID],Deployments[Prod])-Commits[[#This Row],[DateCommit]]</f>
        <v>84</v>
      </c>
    </row>
    <row r="13" spans="1:4">
      <c r="A13">
        <v>23</v>
      </c>
      <c r="B13" s="5">
        <v>45731</v>
      </c>
      <c r="C13">
        <v>5</v>
      </c>
      <c r="D13" s="6">
        <f>_xlfn.XLOOKUP(Commits[[#This Row],[DeploymentID]],Deployments[DeploymentID],Deployments[Prod])-Commits[[#This Row],[DateCommit]]</f>
        <v>54</v>
      </c>
    </row>
    <row r="14" spans="1:4">
      <c r="A14">
        <v>24</v>
      </c>
      <c r="B14" s="5">
        <v>45732</v>
      </c>
      <c r="C14">
        <v>5</v>
      </c>
      <c r="D14" s="6">
        <f>_xlfn.XLOOKUP(Commits[[#This Row],[DeploymentID]],Deployments[DeploymentID],Deployments[Prod])-Commits[[#This Row],[DateCommit]]</f>
        <v>53</v>
      </c>
    </row>
    <row r="15" spans="1:4">
      <c r="A15">
        <v>25</v>
      </c>
      <c r="B15" s="5">
        <v>45732</v>
      </c>
      <c r="C15">
        <v>5</v>
      </c>
      <c r="D15" s="6">
        <f>_xlfn.XLOOKUP(Commits[[#This Row],[DeploymentID]],Deployments[DeploymentID],Deployments[Prod])-Commits[[#This Row],[DateCommit]]</f>
        <v>53</v>
      </c>
    </row>
    <row r="16" spans="1:4">
      <c r="A16">
        <v>26</v>
      </c>
      <c r="B16" s="5">
        <v>45732</v>
      </c>
      <c r="C16">
        <v>5</v>
      </c>
      <c r="D16" s="6">
        <f>_xlfn.XLOOKUP(Commits[[#This Row],[DeploymentID]],Deployments[DeploymentID],Deployments[Prod])-Commits[[#This Row],[DateCommit]]</f>
        <v>53</v>
      </c>
    </row>
    <row r="17" spans="1:4">
      <c r="A17">
        <v>27</v>
      </c>
      <c r="B17" s="5">
        <v>45732</v>
      </c>
      <c r="C17">
        <v>5</v>
      </c>
      <c r="D17" s="6">
        <f>_xlfn.XLOOKUP(Commits[[#This Row],[DeploymentID]],Deployments[DeploymentID],Deployments[Prod])-Commits[[#This Row],[DateCommit]]</f>
        <v>53</v>
      </c>
    </row>
    <row r="18" spans="1:4">
      <c r="A18">
        <v>28</v>
      </c>
      <c r="B18" s="5">
        <v>45748</v>
      </c>
      <c r="C18">
        <v>5</v>
      </c>
      <c r="D18" s="6">
        <f>_xlfn.XLOOKUP(Commits[[#This Row],[DeploymentID]],Deployments[DeploymentID],Deployments[Prod])-Commits[[#This Row],[DateCommit]]</f>
        <v>37</v>
      </c>
    </row>
    <row r="19" spans="1:4">
      <c r="A19">
        <v>29</v>
      </c>
      <c r="B19" s="5">
        <v>45750</v>
      </c>
      <c r="C19">
        <v>5</v>
      </c>
      <c r="D19" s="6">
        <f>_xlfn.XLOOKUP(Commits[[#This Row],[DeploymentID]],Deployments[DeploymentID],Deployments[Prod])-Commits[[#This Row],[DateCommit]]</f>
        <v>35</v>
      </c>
    </row>
    <row r="20" spans="1:4">
      <c r="A20">
        <v>30</v>
      </c>
      <c r="B20" s="5">
        <v>45762</v>
      </c>
      <c r="C20">
        <v>5</v>
      </c>
      <c r="D20" s="6">
        <f>_xlfn.XLOOKUP(Commits[[#This Row],[DeploymentID]],Deployments[DeploymentID],Deployments[Prod])-Commits[[#This Row],[DateCommit]]</f>
        <v>23</v>
      </c>
    </row>
    <row r="21" spans="1:4">
      <c r="A21">
        <v>31</v>
      </c>
      <c r="B21" s="5">
        <v>45767</v>
      </c>
      <c r="C21">
        <v>5</v>
      </c>
      <c r="D21" s="6">
        <f>_xlfn.XLOOKUP(Commits[[#This Row],[DeploymentID]],Deployments[DeploymentID],Deployments[Prod])-Commits[[#This Row],[DateCommit]]</f>
        <v>18</v>
      </c>
    </row>
    <row r="22" spans="1:4">
      <c r="A22">
        <v>32</v>
      </c>
      <c r="B22" s="5">
        <v>45773</v>
      </c>
      <c r="C22">
        <v>5</v>
      </c>
      <c r="D22" s="6">
        <f>_xlfn.XLOOKUP(Commits[[#This Row],[DeploymentID]],Deployments[DeploymentID],Deployments[Prod])-Commits[[#This Row],[DateCommit]]</f>
        <v>12</v>
      </c>
    </row>
    <row r="23" spans="1:4">
      <c r="A23">
        <v>33</v>
      </c>
      <c r="B23" s="5">
        <v>45777</v>
      </c>
      <c r="C23">
        <v>5</v>
      </c>
      <c r="D23" s="6">
        <f>_xlfn.XLOOKUP(Commits[[#This Row],[DeploymentID]],Deployments[DeploymentID],Deployments[Prod])-Commits[[#This Row],[DateCommit]]</f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52-1849-463A-8E56-114036E04BF5}">
  <dimension ref="A1:E3"/>
  <sheetViews>
    <sheetView workbookViewId="0">
      <selection activeCell="H22" sqref="H22"/>
    </sheetView>
  </sheetViews>
  <sheetFormatPr defaultRowHeight="14.25"/>
  <cols>
    <col min="1" max="1" width="10.625" bestFit="1" customWidth="1"/>
    <col min="2" max="2" width="14.375" style="4" customWidth="1"/>
    <col min="3" max="3" width="18" customWidth="1"/>
    <col min="4" max="4" width="18" style="8" customWidth="1"/>
    <col min="5" max="5" width="18" style="16" customWidth="1"/>
  </cols>
  <sheetData>
    <row r="1" spans="1:5">
      <c r="A1" t="s">
        <v>7</v>
      </c>
      <c r="B1" s="4" t="s">
        <v>8</v>
      </c>
      <c r="C1" t="s">
        <v>9</v>
      </c>
      <c r="D1" s="8" t="s">
        <v>6</v>
      </c>
      <c r="E1" s="16" t="s">
        <v>16</v>
      </c>
    </row>
    <row r="2" spans="1:5">
      <c r="A2">
        <v>34</v>
      </c>
      <c r="B2" s="3">
        <v>45628</v>
      </c>
      <c r="C2">
        <v>1</v>
      </c>
      <c r="D2" s="8">
        <f>_xlfn.XLOOKUP(Issues[[#This Row],[Fixed-ReleaseID]],Deployments[DeploymentID],Deployments[Prod])-Issues[[#This Row],[Report Date]]</f>
        <v>34</v>
      </c>
      <c r="E2" s="16">
        <f>_xlfn.XLOOKUP(Issues[[#This Row],[Fixed-ReleaseID]],Deployments[DeploymentID],Deployments[Prod])</f>
        <v>45662</v>
      </c>
    </row>
    <row r="3" spans="1:5">
      <c r="A3">
        <v>78</v>
      </c>
      <c r="B3" s="3">
        <v>45736</v>
      </c>
      <c r="C3">
        <v>5</v>
      </c>
      <c r="D3" s="8">
        <f>_xlfn.XLOOKUP(Issues[[#This Row],[Fixed-ReleaseID]],Deployments[DeploymentID],Deployments[Prod])-Issues[[#This Row],[Report Date]]</f>
        <v>49</v>
      </c>
      <c r="E3" s="16">
        <f>_xlfn.XLOOKUP(Issues[[#This Row],[Fixed-ReleaseID]],Deployments[DeploymentID],Deployments[Prod])</f>
        <v>45785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3503-4160-4CAF-A469-6949F87FE384}">
  <dimension ref="A1:XFD11"/>
  <sheetViews>
    <sheetView tabSelected="1" workbookViewId="0">
      <selection activeCell="AA29" sqref="AA29"/>
    </sheetView>
  </sheetViews>
  <sheetFormatPr defaultRowHeight="14.25"/>
  <cols>
    <col min="1" max="1" width="24" customWidth="1"/>
    <col min="3" max="3" width="9.25" bestFit="1" customWidth="1"/>
    <col min="5" max="5" width="13.875" customWidth="1"/>
    <col min="6" max="6" width="9.25" bestFit="1" customWidth="1"/>
    <col min="7" max="7" width="10.375" customWidth="1"/>
    <col min="8" max="9" width="9.25" bestFit="1" customWidth="1"/>
    <col min="10" max="10" width="11.875" customWidth="1"/>
    <col min="11" max="13" width="11.625" bestFit="1" customWidth="1"/>
  </cols>
  <sheetData>
    <row r="1" spans="1:32 16384:16384" s="3" customFormat="1">
      <c r="A1" s="13"/>
      <c r="B1" s="13"/>
      <c r="C1" s="13"/>
      <c r="D1" s="3">
        <v>45597</v>
      </c>
      <c r="E1" s="3">
        <v>45627</v>
      </c>
      <c r="F1" s="3">
        <v>45658</v>
      </c>
      <c r="G1" s="3">
        <v>45689</v>
      </c>
      <c r="H1" s="3">
        <v>45717</v>
      </c>
      <c r="I1" s="3">
        <v>45748</v>
      </c>
      <c r="J1" s="3">
        <v>45778</v>
      </c>
      <c r="K1" s="3">
        <v>45809</v>
      </c>
      <c r="L1" s="3">
        <v>45839</v>
      </c>
      <c r="M1" s="3">
        <v>45870</v>
      </c>
      <c r="N1" s="3">
        <v>45901</v>
      </c>
      <c r="O1" s="3">
        <v>45931</v>
      </c>
      <c r="P1" s="3">
        <v>45962</v>
      </c>
      <c r="Q1" s="3">
        <v>45992</v>
      </c>
      <c r="R1" s="3">
        <v>46023</v>
      </c>
      <c r="S1" s="3">
        <v>46054</v>
      </c>
      <c r="T1" s="3">
        <v>46082</v>
      </c>
      <c r="U1" s="3">
        <v>46113</v>
      </c>
      <c r="V1" s="3">
        <v>46143</v>
      </c>
      <c r="W1" s="3">
        <v>46174</v>
      </c>
      <c r="X1" s="3">
        <v>46204</v>
      </c>
      <c r="Y1" s="3">
        <v>46235</v>
      </c>
      <c r="Z1" s="3">
        <v>46266</v>
      </c>
      <c r="AA1" s="3">
        <v>46296</v>
      </c>
      <c r="AB1" s="3">
        <v>46327</v>
      </c>
      <c r="AC1" s="3">
        <v>46357</v>
      </c>
      <c r="AD1" s="3">
        <v>46388</v>
      </c>
      <c r="AE1" s="3">
        <v>46419</v>
      </c>
      <c r="AF1" s="3">
        <v>46447</v>
      </c>
    </row>
    <row r="2" spans="1:32 16384:16384" s="14" customFormat="1">
      <c r="A2" s="8" t="s">
        <v>10</v>
      </c>
      <c r="B2" s="8"/>
      <c r="C2" s="8">
        <f>(MAX(Deployments[Acc])-MIN(Deployments[Acc]))/COUNTA(Deployments[Acc])</f>
        <v>24.6</v>
      </c>
      <c r="D2" s="14" t="s">
        <v>11</v>
      </c>
      <c r="E2" s="14">
        <f>COUNTIFS(Deployments[Acc],"&gt;="&amp;D$1,Deployments[Acc],"&lt;"&amp;E$1)</f>
        <v>0</v>
      </c>
      <c r="F2" s="14">
        <f>COUNTIFS(Deployments[Acc],"&gt;="&amp;E$1,Deployments[Acc],"&lt;"&amp;F$1)</f>
        <v>0</v>
      </c>
      <c r="G2" s="14">
        <f>COUNTIFS(Deployments[Acc],"&gt;="&amp;F$1,Deployments[Acc],"&lt;"&amp;G$1)</f>
        <v>2</v>
      </c>
      <c r="H2" s="14">
        <f>COUNTIFS(Deployments[Acc],"&gt;="&amp;G$1,Deployments[Acc],"&lt;"&amp;H$1)</f>
        <v>1</v>
      </c>
      <c r="I2" s="14">
        <f>COUNTIFS(Deployments[Acc],"&gt;="&amp;H$1,Deployments[Acc],"&lt;"&amp;I$1)</f>
        <v>0</v>
      </c>
      <c r="J2" s="14">
        <f>COUNTIFS(Deployments[Acc],"&gt;="&amp;I$1,Deployments[Acc],"&lt;"&amp;J$1)</f>
        <v>1</v>
      </c>
      <c r="K2" s="14">
        <f>COUNTIFS(Deployments[Acc],"&gt;="&amp;J$1,Deployments[Acc],"&lt;"&amp;K$1)</f>
        <v>1</v>
      </c>
      <c r="L2" s="14">
        <f>COUNTIFS(Deployments[Acc],"&gt;="&amp;K$1,Deployments[Acc],"&lt;"&amp;L$1)</f>
        <v>0</v>
      </c>
      <c r="M2" s="14">
        <f>COUNTIFS(Deployments[Acc],"&gt;="&amp;L$1,Deployments[Acc],"&lt;"&amp;M$1)</f>
        <v>0</v>
      </c>
      <c r="N2" s="14">
        <f>COUNTIFS(Deployments[Acc],"&gt;="&amp;M$1,Deployments[Acc],"&lt;"&amp;N$1)</f>
        <v>0</v>
      </c>
      <c r="O2" s="14">
        <f>COUNTIFS(Deployments[Acc],"&gt;="&amp;N$1,Deployments[Acc],"&lt;"&amp;O$1)</f>
        <v>0</v>
      </c>
      <c r="P2" s="14">
        <f>COUNTIFS(Deployments[Acc],"&gt;="&amp;O$1,Deployments[Acc],"&lt;"&amp;P$1)</f>
        <v>0</v>
      </c>
      <c r="Q2" s="14">
        <f>COUNTIFS(Deployments[Acc],"&gt;="&amp;P$1,Deployments[Acc],"&lt;"&amp;Q$1)</f>
        <v>0</v>
      </c>
      <c r="R2" s="14">
        <f>COUNTIFS(Deployments[Acc],"&gt;="&amp;Q$1,Deployments[Acc],"&lt;"&amp;R$1)</f>
        <v>0</v>
      </c>
      <c r="S2" s="14">
        <f>COUNTIFS(Deployments[Acc],"&gt;="&amp;R$1,Deployments[Acc],"&lt;"&amp;S$1)</f>
        <v>0</v>
      </c>
      <c r="T2" s="14">
        <f>COUNTIFS(Deployments[Acc],"&gt;="&amp;S$1,Deployments[Acc],"&lt;"&amp;T$1)</f>
        <v>0</v>
      </c>
      <c r="U2" s="14">
        <f>COUNTIFS(Deployments[Acc],"&gt;="&amp;T$1,Deployments[Acc],"&lt;"&amp;U$1)</f>
        <v>0</v>
      </c>
      <c r="V2" s="14">
        <f>COUNTIFS(Deployments[Acc],"&gt;="&amp;U$1,Deployments[Acc],"&lt;"&amp;V$1)</f>
        <v>0</v>
      </c>
      <c r="W2" s="14">
        <f>COUNTIFS(Deployments[Acc],"&gt;="&amp;V$1,Deployments[Acc],"&lt;"&amp;W$1)</f>
        <v>0</v>
      </c>
      <c r="X2" s="14">
        <f>COUNTIFS(Deployments[Acc],"&gt;="&amp;W$1,Deployments[Acc],"&lt;"&amp;X$1)</f>
        <v>0</v>
      </c>
      <c r="Y2" s="14">
        <f>COUNTIFS(Deployments[Acc],"&gt;="&amp;X$1,Deployments[Acc],"&lt;"&amp;Y$1)</f>
        <v>0</v>
      </c>
      <c r="Z2" s="14">
        <f>COUNTIFS(Deployments[Acc],"&gt;="&amp;Y$1,Deployments[Acc],"&lt;"&amp;Z$1)</f>
        <v>0</v>
      </c>
      <c r="AA2" s="14">
        <f>COUNTIFS(Deployments[Acc],"&gt;="&amp;Z$1,Deployments[Acc],"&lt;"&amp;AA$1)</f>
        <v>0</v>
      </c>
      <c r="AB2" s="14">
        <f>COUNTIFS(Deployments[Acc],"&gt;="&amp;AA$1,Deployments[Acc],"&lt;"&amp;AB$1)</f>
        <v>0</v>
      </c>
      <c r="AC2" s="14">
        <f>COUNTIFS(Deployments[Acc],"&gt;="&amp;AB$1,Deployments[Acc],"&lt;"&amp;AC$1)</f>
        <v>0</v>
      </c>
      <c r="AD2" s="14">
        <f>COUNTIFS(Deployments[Acc],"&gt;="&amp;AC$1,Deployments[Acc],"&lt;"&amp;AD$1)</f>
        <v>0</v>
      </c>
      <c r="AE2" s="14">
        <f>COUNTIFS(Deployments[Acc],"&gt;="&amp;AD$1,Deployments[Acc],"&lt;"&amp;AE$1)</f>
        <v>0</v>
      </c>
      <c r="AF2" s="14">
        <f>COUNTIFS(Deployments[Acc],"&gt;="&amp;AE$1,Deployments[Acc],"&lt;"&amp;AF$1)</f>
        <v>0</v>
      </c>
    </row>
    <row r="3" spans="1:32 16384:16384">
      <c r="A3" s="7" t="s">
        <v>12</v>
      </c>
      <c r="B3" s="7"/>
      <c r="C3" s="8">
        <f>(MAX(Deployments[Prod])-MIN(Deployments[Prod]))/COUNTA(Deployments[Prod])</f>
        <v>81.400000000000006</v>
      </c>
      <c r="D3" t="s">
        <v>11</v>
      </c>
      <c r="E3">
        <f>COUNTIFS(Deployments[Prod],"&gt;="&amp;D$1,Deployments[Prod],"&lt;"&amp;E$1)</f>
        <v>0</v>
      </c>
      <c r="F3">
        <f>COUNTIFS(Deployments[Prod],"&gt;="&amp;E$1,Deployments[Prod],"&lt;"&amp;F$1)</f>
        <v>0</v>
      </c>
      <c r="G3">
        <f>COUNTIFS(Deployments[Prod],"&gt;="&amp;F$1,Deployments[Prod],"&lt;"&amp;G$1)</f>
        <v>2</v>
      </c>
      <c r="H3">
        <f>COUNTIFS(Deployments[Prod],"&gt;="&amp;G$1,Deployments[Prod],"&lt;"&amp;H$1)</f>
        <v>0</v>
      </c>
      <c r="I3">
        <f>COUNTIFS(Deployments[Prod],"&gt;="&amp;H$1,Deployments[Prod],"&lt;"&amp;I$1)</f>
        <v>0</v>
      </c>
      <c r="J3">
        <f>COUNTIFS(Deployments[Prod],"&gt;="&amp;I$1,Deployments[Prod],"&lt;"&amp;J$1)</f>
        <v>1</v>
      </c>
      <c r="K3">
        <f>COUNTIFS(Deployments[Prod],"&gt;="&amp;J$1,Deployments[Prod],"&lt;"&amp;K$1)</f>
        <v>1</v>
      </c>
      <c r="L3">
        <f>COUNTIFS(Deployments[Prod],"&gt;="&amp;K$1,Deployments[Prod],"&lt;"&amp;L$1)</f>
        <v>0</v>
      </c>
      <c r="M3">
        <f>COUNTIFS(Deployments[Prod],"&gt;="&amp;L$1,Deployments[Prod],"&lt;"&amp;M$1)</f>
        <v>0</v>
      </c>
      <c r="N3">
        <f>COUNTIFS(Deployments[Prod],"&gt;="&amp;M$1,Deployments[Prod],"&lt;"&amp;N$1)</f>
        <v>0</v>
      </c>
      <c r="O3">
        <f>COUNTIFS(Deployments[Prod],"&gt;="&amp;N$1,Deployments[Prod],"&lt;"&amp;O$1)</f>
        <v>0</v>
      </c>
      <c r="P3">
        <f>COUNTIFS(Deployments[Prod],"&gt;="&amp;O$1,Deployments[Prod],"&lt;"&amp;P$1)</f>
        <v>0</v>
      </c>
      <c r="Q3">
        <f>COUNTIFS(Deployments[Prod],"&gt;="&amp;P$1,Deployments[Prod],"&lt;"&amp;Q$1)</f>
        <v>0</v>
      </c>
      <c r="R3">
        <f>COUNTIFS(Deployments[Prod],"&gt;="&amp;Q$1,Deployments[Prod],"&lt;"&amp;R$1)</f>
        <v>0</v>
      </c>
      <c r="S3">
        <f>COUNTIFS(Deployments[Prod],"&gt;="&amp;R$1,Deployments[Prod],"&lt;"&amp;S$1)</f>
        <v>0</v>
      </c>
      <c r="T3">
        <f>COUNTIFS(Deployments[Prod],"&gt;="&amp;S$1,Deployments[Prod],"&lt;"&amp;T$1)</f>
        <v>1</v>
      </c>
      <c r="U3">
        <f>COUNTIFS(Deployments[Prod],"&gt;="&amp;T$1,Deployments[Prod],"&lt;"&amp;U$1)</f>
        <v>0</v>
      </c>
      <c r="V3">
        <f>COUNTIFS(Deployments[Prod],"&gt;="&amp;U$1,Deployments[Prod],"&lt;"&amp;V$1)</f>
        <v>0</v>
      </c>
      <c r="W3">
        <f>COUNTIFS(Deployments[Prod],"&gt;="&amp;V$1,Deployments[Prod],"&lt;"&amp;W$1)</f>
        <v>0</v>
      </c>
      <c r="X3">
        <f>COUNTIFS(Deployments[Prod],"&gt;="&amp;W$1,Deployments[Prod],"&lt;"&amp;X$1)</f>
        <v>0</v>
      </c>
      <c r="Y3">
        <f>COUNTIFS(Deployments[Prod],"&gt;="&amp;X$1,Deployments[Prod],"&lt;"&amp;Y$1)</f>
        <v>0</v>
      </c>
      <c r="Z3">
        <f>COUNTIFS(Deployments[Prod],"&gt;="&amp;Y$1,Deployments[Prod],"&lt;"&amp;Z$1)</f>
        <v>0</v>
      </c>
      <c r="AA3">
        <f>COUNTIFS(Deployments[Prod],"&gt;="&amp;Z$1,Deployments[Prod],"&lt;"&amp;AA$1)</f>
        <v>0</v>
      </c>
      <c r="AB3">
        <f>COUNTIFS(Deployments[Prod],"&gt;="&amp;AA$1,Deployments[Prod],"&lt;"&amp;AB$1)</f>
        <v>0</v>
      </c>
      <c r="AC3">
        <f>COUNTIFS(Deployments[Prod],"&gt;="&amp;AB$1,Deployments[Prod],"&lt;"&amp;AC$1)</f>
        <v>0</v>
      </c>
      <c r="AD3">
        <f>COUNTIFS(Deployments[Prod],"&gt;="&amp;AC$1,Deployments[Prod],"&lt;"&amp;AD$1)</f>
        <v>0</v>
      </c>
      <c r="AE3">
        <f>COUNTIFS(Deployments[Prod],"&gt;="&amp;AD$1,Deployments[Prod],"&lt;"&amp;AE$1)</f>
        <v>0</v>
      </c>
      <c r="AF3">
        <f>COUNTIFS(Deployments[Prod],"&gt;="&amp;AE$1,Deployments[Prod],"&lt;"&amp;AF$1)</f>
        <v>0</v>
      </c>
    </row>
    <row r="4" spans="1:32 16384:16384" ht="15" thickBot="1">
      <c r="A4" s="7" t="s">
        <v>13</v>
      </c>
      <c r="B4" s="7"/>
      <c r="C4" s="9">
        <f>SUM(Deployments[failed?])/COUNT(Deployments[failed?])</f>
        <v>0.4</v>
      </c>
      <c r="E4" s="9" t="e">
        <f>SUMIFS(Deployments[failed?],Deployments[Prod],"&gt;="&amp;D$1,Deployments[Prod],"&lt;"&amp;E$1)/COUNTIFS(Deployments[Prod],"&gt;="&amp;D$1,Deployments[Prod],"&lt;"&amp;E$1)</f>
        <v>#DIV/0!</v>
      </c>
      <c r="F4" s="9" t="e">
        <f>SUMIFS(Deployments[failed?],Deployments[Prod],"&gt;="&amp;E$1,Deployments[Prod],"&lt;"&amp;F$1)/COUNTIFS(Deployments[Prod],"&gt;="&amp;E$1,Deployments[Prod],"&lt;"&amp;F$1)</f>
        <v>#DIV/0!</v>
      </c>
      <c r="G4" s="9">
        <f>SUMIFS(Deployments[failed?],Deployments[Prod],"&gt;="&amp;F$1,Deployments[Prod],"&lt;"&amp;G$1)/COUNTIFS(Deployments[Prod],"&gt;="&amp;F$1,Deployments[Prod],"&lt;"&amp;G$1)</f>
        <v>0</v>
      </c>
      <c r="H4" s="9" t="e">
        <f>SUMIFS(Deployments[failed?],Deployments[Prod],"&gt;="&amp;G$1,Deployments[Prod],"&lt;"&amp;H$1)/COUNTIFS(Deployments[Prod],"&gt;="&amp;G$1,Deployments[Prod],"&lt;"&amp;H$1)</f>
        <v>#DIV/0!</v>
      </c>
      <c r="I4" s="9" t="e">
        <f>SUMIFS(Deployments[failed?],Deployments[Prod],"&gt;="&amp;H$1,Deployments[Prod],"&lt;"&amp;I$1)/COUNTIFS(Deployments[Prod],"&gt;="&amp;H$1,Deployments[Prod],"&lt;"&amp;I$1)</f>
        <v>#DIV/0!</v>
      </c>
      <c r="J4" s="9">
        <f>SUMIFS(Deployments[failed?],Deployments[Prod],"&gt;="&amp;I$1,Deployments[Prod],"&lt;"&amp;J$1)/COUNTIFS(Deployments[Prod],"&gt;="&amp;I$1,Deployments[Prod],"&lt;"&amp;J$1)</f>
        <v>1</v>
      </c>
      <c r="K4" s="9">
        <f>SUMIFS(Deployments[failed?],Deployments[Prod],"&gt;="&amp;J$1,Deployments[Prod],"&lt;"&amp;K$1)/COUNTIFS(Deployments[Prod],"&gt;="&amp;J$1,Deployments[Prod],"&lt;"&amp;K$1)</f>
        <v>0</v>
      </c>
      <c r="L4" s="9" t="e">
        <f>SUMIFS(Deployments[failed?],Deployments[Prod],"&gt;="&amp;K$1,Deployments[Prod],"&lt;"&amp;L$1)/COUNTIFS(Deployments[Prod],"&gt;="&amp;K$1,Deployments[Prod],"&lt;"&amp;L$1)</f>
        <v>#DIV/0!</v>
      </c>
      <c r="M4" s="9" t="e">
        <f>SUMIFS(Deployments[failed?],Deployments[Prod],"&gt;="&amp;L$1,Deployments[Prod],"&lt;"&amp;M$1)/COUNTIFS(Deployments[Prod],"&gt;="&amp;L$1,Deployments[Prod],"&lt;"&amp;M$1)</f>
        <v>#DIV/0!</v>
      </c>
      <c r="N4" s="9" t="e">
        <f>SUMIFS(Deployments[failed?],Deployments[Prod],"&gt;="&amp;M$1,Deployments[Prod],"&lt;"&amp;N$1)/COUNTIFS(Deployments[Prod],"&gt;="&amp;M$1,Deployments[Prod],"&lt;"&amp;N$1)</f>
        <v>#DIV/0!</v>
      </c>
      <c r="O4" s="9" t="e">
        <f>SUMIFS(Deployments[failed?],Deployments[Prod],"&gt;="&amp;N$1,Deployments[Prod],"&lt;"&amp;O$1)/COUNTIFS(Deployments[Prod],"&gt;="&amp;N$1,Deployments[Prod],"&lt;"&amp;O$1)</f>
        <v>#DIV/0!</v>
      </c>
      <c r="P4" s="9" t="e">
        <f>SUMIFS(Deployments[failed?],Deployments[Prod],"&gt;="&amp;O$1,Deployments[Prod],"&lt;"&amp;P$1)/COUNTIFS(Deployments[Prod],"&gt;="&amp;O$1,Deployments[Prod],"&lt;"&amp;P$1)</f>
        <v>#DIV/0!</v>
      </c>
      <c r="Q4" s="9" t="e">
        <f>SUMIFS(Deployments[failed?],Deployments[Prod],"&gt;="&amp;P$1,Deployments[Prod],"&lt;"&amp;Q$1)/COUNTIFS(Deployments[Prod],"&gt;="&amp;P$1,Deployments[Prod],"&lt;"&amp;Q$1)</f>
        <v>#DIV/0!</v>
      </c>
      <c r="R4" s="9" t="e">
        <f>SUMIFS(Deployments[failed?],Deployments[Prod],"&gt;="&amp;Q$1,Deployments[Prod],"&lt;"&amp;R$1)/COUNTIFS(Deployments[Prod],"&gt;="&amp;Q$1,Deployments[Prod],"&lt;"&amp;R$1)</f>
        <v>#DIV/0!</v>
      </c>
      <c r="S4" s="9" t="e">
        <f>SUMIFS(Deployments[failed?],Deployments[Prod],"&gt;="&amp;R$1,Deployments[Prod],"&lt;"&amp;S$1)/COUNTIFS(Deployments[Prod],"&gt;="&amp;R$1,Deployments[Prod],"&lt;"&amp;S$1)</f>
        <v>#DIV/0!</v>
      </c>
      <c r="T4" s="9">
        <f>SUMIFS(Deployments[failed?],Deployments[Prod],"&gt;="&amp;S$1,Deployments[Prod],"&lt;"&amp;T$1)/COUNTIFS(Deployments[Prod],"&gt;="&amp;S$1,Deployments[Prod],"&lt;"&amp;T$1)</f>
        <v>1</v>
      </c>
      <c r="U4" s="9" t="e">
        <f>SUMIFS(Deployments[failed?],Deployments[Prod],"&gt;="&amp;T$1,Deployments[Prod],"&lt;"&amp;U$1)/COUNTIFS(Deployments[Prod],"&gt;="&amp;T$1,Deployments[Prod],"&lt;"&amp;U$1)</f>
        <v>#DIV/0!</v>
      </c>
      <c r="V4" s="9" t="e">
        <f>SUMIFS(Deployments[failed?],Deployments[Prod],"&gt;="&amp;U$1,Deployments[Prod],"&lt;"&amp;V$1)/COUNTIFS(Deployments[Prod],"&gt;="&amp;U$1,Deployments[Prod],"&lt;"&amp;V$1)</f>
        <v>#DIV/0!</v>
      </c>
      <c r="W4" s="9" t="e">
        <f>SUMIFS(Deployments[failed?],Deployments[Prod],"&gt;="&amp;V$1,Deployments[Prod],"&lt;"&amp;W$1)/COUNTIFS(Deployments[Prod],"&gt;="&amp;V$1,Deployments[Prod],"&lt;"&amp;W$1)</f>
        <v>#DIV/0!</v>
      </c>
      <c r="X4" s="9" t="e">
        <f>SUMIFS(Deployments[failed?],Deployments[Prod],"&gt;="&amp;W$1,Deployments[Prod],"&lt;"&amp;X$1)/COUNTIFS(Deployments[Prod],"&gt;="&amp;W$1,Deployments[Prod],"&lt;"&amp;X$1)</f>
        <v>#DIV/0!</v>
      </c>
      <c r="Y4" s="9" t="e">
        <f>SUMIFS(Deployments[failed?],Deployments[Prod],"&gt;="&amp;X$1,Deployments[Prod],"&lt;"&amp;Y$1)/COUNTIFS(Deployments[Prod],"&gt;="&amp;X$1,Deployments[Prod],"&lt;"&amp;Y$1)</f>
        <v>#DIV/0!</v>
      </c>
      <c r="Z4" s="9" t="e">
        <f>SUMIFS(Deployments[failed?],Deployments[Prod],"&gt;="&amp;Y$1,Deployments[Prod],"&lt;"&amp;Z$1)/COUNTIFS(Deployments[Prod],"&gt;="&amp;Y$1,Deployments[Prod],"&lt;"&amp;Z$1)</f>
        <v>#DIV/0!</v>
      </c>
      <c r="AA4" s="9" t="e">
        <f>SUMIFS(Deployments[failed?],Deployments[Prod],"&gt;="&amp;Z$1,Deployments[Prod],"&lt;"&amp;AA$1)/COUNTIFS(Deployments[Prod],"&gt;="&amp;Z$1,Deployments[Prod],"&lt;"&amp;AA$1)</f>
        <v>#DIV/0!</v>
      </c>
      <c r="AB4" s="9" t="e">
        <f>SUMIFS(Deployments[failed?],Deployments[Prod],"&gt;="&amp;AA$1,Deployments[Prod],"&lt;"&amp;AB$1)/COUNTIFS(Deployments[Prod],"&gt;="&amp;AA$1,Deployments[Prod],"&lt;"&amp;AB$1)</f>
        <v>#DIV/0!</v>
      </c>
      <c r="AC4" s="9" t="e">
        <f>SUMIFS(Deployments[failed?],Deployments[Prod],"&gt;="&amp;AB$1,Deployments[Prod],"&lt;"&amp;AC$1)/COUNTIFS(Deployments[Prod],"&gt;="&amp;AB$1,Deployments[Prod],"&lt;"&amp;AC$1)</f>
        <v>#DIV/0!</v>
      </c>
      <c r="AD4" s="9" t="e">
        <f>SUMIFS(Deployments[failed?],Deployments[Prod],"&gt;="&amp;AC$1,Deployments[Prod],"&lt;"&amp;AD$1)/COUNTIFS(Deployments[Prod],"&gt;="&amp;AC$1,Deployments[Prod],"&lt;"&amp;AD$1)</f>
        <v>#DIV/0!</v>
      </c>
      <c r="AE4" s="9" t="e">
        <f>SUMIFS(Deployments[failed?],Deployments[Prod],"&gt;="&amp;AD$1,Deployments[Prod],"&lt;"&amp;AE$1)/COUNTIFS(Deployments[Prod],"&gt;="&amp;AD$1,Deployments[Prod],"&lt;"&amp;AE$1)</f>
        <v>#DIV/0!</v>
      </c>
      <c r="AF4" s="9" t="e">
        <f>SUMIFS(Deployments[failed?],Deployments[Prod],"&gt;="&amp;AE$1,Deployments[Prod],"&lt;"&amp;AF$1)/COUNTIFS(Deployments[Prod],"&gt;="&amp;AE$1,Deployments[Prod],"&lt;"&amp;AF$1)</f>
        <v>#DIV/0!</v>
      </c>
    </row>
    <row r="5" spans="1:32 16384:16384" s="14" customFormat="1" ht="17.25" thickBot="1">
      <c r="A5" s="8" t="s">
        <v>14</v>
      </c>
      <c r="B5" s="8"/>
      <c r="C5" s="8">
        <f>AVERAGE(Commits[DaysToRelease])</f>
        <v>36.31818181818182</v>
      </c>
      <c r="D5" s="14" t="s">
        <v>11</v>
      </c>
      <c r="E5" s="15">
        <f>AVERAGEIFS(Commits[DaysToRelease], Commits[DateCommit], "&gt;=" &amp; D$1, Commits[DateCommit], "&lt;" &amp; E$1)</f>
        <v>36</v>
      </c>
      <c r="F5" s="15">
        <f>AVERAGEIFS(Commits[DaysToRelease], Commits[DateCommit], "&gt;=" &amp; E$1, Commits[DateCommit], "&lt;" &amp; F$1)</f>
        <v>35</v>
      </c>
      <c r="G5" s="15">
        <f>AVERAGEIFS(Commits[DaysToRelease], Commits[DateCommit], "&gt;=" &amp; F$1, Commits[DateCommit], "&lt;" &amp; G$1)</f>
        <v>27.8</v>
      </c>
      <c r="H5" s="15">
        <f>AVERAGEIFS(Commits[DaysToRelease], Commits[DateCommit], "&gt;=" &amp; G$1, Commits[DateCommit], "&lt;" &amp; H$1)</f>
        <v>84</v>
      </c>
      <c r="I5" s="15">
        <f>AVERAGEIFS(Commits[DaysToRelease], Commits[DateCommit], "&gt;=" &amp; H$1, Commits[DateCommit], "&lt;" &amp; I$1)</f>
        <v>53.2</v>
      </c>
      <c r="J5" s="15">
        <f>AVERAGEIFS(Commits[DaysToRelease], Commits[DateCommit], "&gt;=" &amp; I$1, Commits[DateCommit], "&lt;" &amp; J$1)</f>
        <v>22.166666666666668</v>
      </c>
      <c r="K5" s="15" t="e">
        <f>AVERAGEIFS(Commits[DaysToRelease], Commits[DateCommit], "&gt;=" &amp; J$1, Commits[DateCommit], "&lt;" &amp; K$1)</f>
        <v>#DIV/0!</v>
      </c>
      <c r="L5" s="15" t="e">
        <f>AVERAGEIFS(Commits[DaysToRelease], Commits[DateCommit], "&gt;=" &amp; K$1, Commits[DateCommit], "&lt;" &amp; L$1)</f>
        <v>#DIV/0!</v>
      </c>
      <c r="M5" s="15" t="e">
        <f>AVERAGEIFS(Commits[DaysToRelease], Commits[DateCommit], "&gt;=" &amp; L$1, Commits[DateCommit], "&lt;" &amp; M$1)</f>
        <v>#DIV/0!</v>
      </c>
      <c r="N5" s="15" t="e">
        <f>AVERAGEIFS(Commits[DaysToRelease], Commits[DateCommit], "&gt;=" &amp; M$1, Commits[DateCommit], "&lt;" &amp; N$1)</f>
        <v>#DIV/0!</v>
      </c>
      <c r="O5" s="15" t="e">
        <f>AVERAGEIFS(Commits[DaysToRelease], Commits[DateCommit], "&gt;=" &amp; N$1, Commits[DateCommit], "&lt;" &amp; O$1)</f>
        <v>#DIV/0!</v>
      </c>
      <c r="P5" s="15" t="e">
        <f>AVERAGEIFS(Commits[DaysToRelease], Commits[DateCommit], "&gt;=" &amp; O$1, Commits[DateCommit], "&lt;" &amp; P$1)</f>
        <v>#DIV/0!</v>
      </c>
      <c r="Q5" s="15" t="e">
        <f>AVERAGEIFS(Commits[DaysToRelease], Commits[DateCommit], "&gt;=" &amp; P$1, Commits[DateCommit], "&lt;" &amp; Q$1)</f>
        <v>#DIV/0!</v>
      </c>
      <c r="R5" s="15" t="e">
        <f>AVERAGEIFS(Commits[DaysToRelease], Commits[DateCommit], "&gt;=" &amp; Q$1, Commits[DateCommit], "&lt;" &amp; R$1)</f>
        <v>#DIV/0!</v>
      </c>
      <c r="S5" s="15" t="e">
        <f>AVERAGEIFS(Commits[DaysToRelease], Commits[DateCommit], "&gt;=" &amp; R$1, Commits[DateCommit], "&lt;" &amp; S$1)</f>
        <v>#DIV/0!</v>
      </c>
      <c r="T5" s="15" t="e">
        <f>AVERAGEIFS(Commits[DaysToRelease], Commits[DateCommit], "&gt;=" &amp; S$1, Commits[DateCommit], "&lt;" &amp; T$1)</f>
        <v>#DIV/0!</v>
      </c>
      <c r="U5" s="15" t="e">
        <f>AVERAGEIFS(Commits[DaysToRelease], Commits[DateCommit], "&gt;=" &amp; T$1, Commits[DateCommit], "&lt;" &amp; U$1)</f>
        <v>#DIV/0!</v>
      </c>
      <c r="V5" s="15" t="e">
        <f>AVERAGEIFS(Commits[DaysToRelease], Commits[DateCommit], "&gt;=" &amp; U$1, Commits[DateCommit], "&lt;" &amp; V$1)</f>
        <v>#DIV/0!</v>
      </c>
      <c r="W5" s="15" t="e">
        <f>AVERAGEIFS(Commits[DaysToRelease], Commits[DateCommit], "&gt;=" &amp; V$1, Commits[DateCommit], "&lt;" &amp; W$1)</f>
        <v>#DIV/0!</v>
      </c>
      <c r="X5" s="15" t="e">
        <f>AVERAGEIFS(Commits[DaysToRelease], Commits[DateCommit], "&gt;=" &amp; W$1, Commits[DateCommit], "&lt;" &amp; X$1)</f>
        <v>#DIV/0!</v>
      </c>
      <c r="Y5" s="15" t="e">
        <f>AVERAGEIFS(Commits[DaysToRelease], Commits[DateCommit], "&gt;=" &amp; X$1, Commits[DateCommit], "&lt;" &amp; Y$1)</f>
        <v>#DIV/0!</v>
      </c>
      <c r="Z5" s="15" t="e">
        <f>AVERAGEIFS(Commits[DaysToRelease], Commits[DateCommit], "&gt;=" &amp; Y$1, Commits[DateCommit], "&lt;" &amp; Z$1)</f>
        <v>#DIV/0!</v>
      </c>
      <c r="AA5" s="15" t="e">
        <f>AVERAGEIFS(Commits[DaysToRelease], Commits[DateCommit], "&gt;=" &amp; Z$1, Commits[DateCommit], "&lt;" &amp; AA$1)</f>
        <v>#DIV/0!</v>
      </c>
      <c r="AB5" s="15" t="e">
        <f>AVERAGEIFS(Commits[DaysToRelease], Commits[DateCommit], "&gt;=" &amp; AA$1, Commits[DateCommit], "&lt;" &amp; AB$1)</f>
        <v>#DIV/0!</v>
      </c>
      <c r="AC5" s="15" t="e">
        <f>AVERAGEIFS(Commits[DaysToRelease], Commits[DateCommit], "&gt;=" &amp; AB$1, Commits[DateCommit], "&lt;" &amp; AC$1)</f>
        <v>#DIV/0!</v>
      </c>
      <c r="AD5" s="15" t="e">
        <f>AVERAGEIFS(Commits[DaysToRelease], Commits[DateCommit], "&gt;=" &amp; AC$1, Commits[DateCommit], "&lt;" &amp; AD$1)</f>
        <v>#DIV/0!</v>
      </c>
      <c r="AE5" s="15" t="e">
        <f>AVERAGEIFS(Commits[DaysToRelease], Commits[DateCommit], "&gt;=" &amp; AD$1, Commits[DateCommit], "&lt;" &amp; AE$1)</f>
        <v>#DIV/0!</v>
      </c>
      <c r="AF5" s="15" t="e">
        <f>AVERAGEIFS(Commits[DaysToRelease], Commits[DateCommit], "&gt;=" &amp; AE$1, Commits[DateCommit], "&lt;" &amp; AF$1)</f>
        <v>#DIV/0!</v>
      </c>
      <c r="XFD5" s="15" t="e">
        <f>AVERAGEIFS(Commits[DaysToRelease], Commits[DateCommit], "&gt;=" &amp; XFC$1, Commits[DateCommit], "&lt;" &amp; XFD$1)</f>
        <v>#DIV/0!</v>
      </c>
    </row>
    <row r="6" spans="1:32 16384:16384" ht="17.25" thickBot="1">
      <c r="A6" s="7" t="s">
        <v>15</v>
      </c>
      <c r="B6" s="7"/>
      <c r="C6" s="7">
        <f>AVERAGE(Issues[DaysToRelease])</f>
        <v>41.5</v>
      </c>
      <c r="D6" t="s">
        <v>11</v>
      </c>
      <c r="E6" s="15" t="e">
        <f>AVERAGEIFS(Issues[DaysToRelease], Issues[ReleaseDate], "&gt;=" &amp; D$1, Issues[ReleaseDate], "&lt;" &amp; E$1)</f>
        <v>#DIV/0!</v>
      </c>
      <c r="F6" s="15" t="e">
        <f>AVERAGEIFS(Issues[DaysToRelease], Issues[ReleaseDate], "&gt;=" &amp; E$1, Issues[ReleaseDate], "&lt;" &amp; F$1)</f>
        <v>#DIV/0!</v>
      </c>
      <c r="G6" s="15">
        <f>AVERAGEIFS(Issues[DaysToRelease], Issues[ReleaseDate], "&gt;=" &amp; F$1, Issues[ReleaseDate], "&lt;" &amp; G$1)</f>
        <v>34</v>
      </c>
      <c r="H6" s="15" t="e">
        <f>AVERAGEIFS(Issues[DaysToRelease], Issues[ReleaseDate], "&gt;=" &amp; G$1, Issues[ReleaseDate], "&lt;" &amp; H$1)</f>
        <v>#DIV/0!</v>
      </c>
      <c r="I6" s="15" t="e">
        <f>AVERAGEIFS(Issues[DaysToRelease], Issues[ReleaseDate], "&gt;=" &amp; H$1, Issues[ReleaseDate], "&lt;" &amp; I$1)</f>
        <v>#DIV/0!</v>
      </c>
      <c r="J6" s="15" t="e">
        <f>AVERAGEIFS(Issues[DaysToRelease], Issues[ReleaseDate], "&gt;=" &amp; I$1, Issues[ReleaseDate], "&lt;" &amp; J$1)</f>
        <v>#DIV/0!</v>
      </c>
      <c r="K6" s="15">
        <f>AVERAGEIFS(Issues[DaysToRelease], Issues[ReleaseDate], "&gt;=" &amp; J$1, Issues[ReleaseDate], "&lt;" &amp; K$1)</f>
        <v>49</v>
      </c>
      <c r="L6" s="15" t="e">
        <f>AVERAGEIFS(Issues[DaysToRelease], Issues[ReleaseDate], "&gt;=" &amp; K$1, Issues[ReleaseDate], "&lt;" &amp; L$1)</f>
        <v>#DIV/0!</v>
      </c>
      <c r="M6" s="15" t="e">
        <f>AVERAGEIFS(Issues[DaysToRelease], Issues[ReleaseDate], "&gt;=" &amp; L$1, Issues[ReleaseDate], "&lt;" &amp; M$1)</f>
        <v>#DIV/0!</v>
      </c>
      <c r="N6" s="15" t="e">
        <f>AVERAGEIFS(Issues[DaysToRelease], Issues[ReleaseDate], "&gt;=" &amp; M$1, Issues[ReleaseDate], "&lt;" &amp; N$1)</f>
        <v>#DIV/0!</v>
      </c>
      <c r="O6" s="15" t="e">
        <f>AVERAGEIFS(Issues[DaysToRelease], Issues[ReleaseDate], "&gt;=" &amp; N$1, Issues[ReleaseDate], "&lt;" &amp; O$1)</f>
        <v>#DIV/0!</v>
      </c>
      <c r="P6" s="15" t="e">
        <f>AVERAGEIFS(Issues[DaysToRelease], Issues[ReleaseDate], "&gt;=" &amp; O$1, Issues[ReleaseDate], "&lt;" &amp; P$1)</f>
        <v>#DIV/0!</v>
      </c>
      <c r="Q6" s="15" t="e">
        <f>AVERAGEIFS(Issues[DaysToRelease], Issues[ReleaseDate], "&gt;=" &amp; P$1, Issues[ReleaseDate], "&lt;" &amp; Q$1)</f>
        <v>#DIV/0!</v>
      </c>
      <c r="R6" s="15" t="e">
        <f>AVERAGEIFS(Issues[DaysToRelease], Issues[ReleaseDate], "&gt;=" &amp; Q$1, Issues[ReleaseDate], "&lt;" &amp; R$1)</f>
        <v>#DIV/0!</v>
      </c>
      <c r="S6" s="15" t="e">
        <f>AVERAGEIFS(Issues[DaysToRelease], Issues[ReleaseDate], "&gt;=" &amp; R$1, Issues[ReleaseDate], "&lt;" &amp; S$1)</f>
        <v>#DIV/0!</v>
      </c>
      <c r="T6" s="15" t="e">
        <f>AVERAGEIFS(Issues[DaysToRelease], Issues[ReleaseDate], "&gt;=" &amp; S$1, Issues[ReleaseDate], "&lt;" &amp; T$1)</f>
        <v>#DIV/0!</v>
      </c>
      <c r="U6" s="15" t="e">
        <f>AVERAGEIFS(Issues[DaysToRelease], Issues[ReleaseDate], "&gt;=" &amp; T$1, Issues[ReleaseDate], "&lt;" &amp; U$1)</f>
        <v>#DIV/0!</v>
      </c>
      <c r="V6" s="15" t="e">
        <f>AVERAGEIFS(Issues[DaysToRelease], Issues[ReleaseDate], "&gt;=" &amp; U$1, Issues[ReleaseDate], "&lt;" &amp; V$1)</f>
        <v>#DIV/0!</v>
      </c>
      <c r="W6" s="15" t="e">
        <f>AVERAGEIFS(Issues[DaysToRelease], Issues[ReleaseDate], "&gt;=" &amp; V$1, Issues[ReleaseDate], "&lt;" &amp; W$1)</f>
        <v>#DIV/0!</v>
      </c>
      <c r="X6" s="15" t="e">
        <f>AVERAGEIFS(Issues[DaysToRelease], Issues[ReleaseDate], "&gt;=" &amp; W$1, Issues[ReleaseDate], "&lt;" &amp; X$1)</f>
        <v>#DIV/0!</v>
      </c>
      <c r="Y6" s="15" t="e">
        <f>AVERAGEIFS(Issues[DaysToRelease], Issues[ReleaseDate], "&gt;=" &amp; X$1, Issues[ReleaseDate], "&lt;" &amp; Y$1)</f>
        <v>#DIV/0!</v>
      </c>
      <c r="Z6" s="15" t="e">
        <f>AVERAGEIFS(Issues[DaysToRelease], Issues[ReleaseDate], "&gt;=" &amp; Y$1, Issues[ReleaseDate], "&lt;" &amp; Z$1)</f>
        <v>#DIV/0!</v>
      </c>
      <c r="AA6" s="15" t="e">
        <f>AVERAGEIFS(Issues[DaysToRelease], Issues[ReleaseDate], "&gt;=" &amp; Z$1, Issues[ReleaseDate], "&lt;" &amp; AA$1)</f>
        <v>#DIV/0!</v>
      </c>
      <c r="AB6" s="15" t="e">
        <f>AVERAGEIFS(Issues[DaysToRelease], Issues[ReleaseDate], "&gt;=" &amp; AA$1, Issues[ReleaseDate], "&lt;" &amp; AB$1)</f>
        <v>#DIV/0!</v>
      </c>
      <c r="AC6" s="15" t="e">
        <f>AVERAGEIFS(Issues[DaysToRelease], Issues[ReleaseDate], "&gt;=" &amp; AB$1, Issues[ReleaseDate], "&lt;" &amp; AC$1)</f>
        <v>#DIV/0!</v>
      </c>
      <c r="AD6" s="15" t="e">
        <f>AVERAGEIFS(Issues[DaysToRelease], Issues[ReleaseDate], "&gt;=" &amp; AC$1, Issues[ReleaseDate], "&lt;" &amp; AD$1)</f>
        <v>#DIV/0!</v>
      </c>
      <c r="AE6" s="15" t="e">
        <f>AVERAGEIFS(Issues[DaysToRelease], Issues[ReleaseDate], "&gt;=" &amp; AD$1, Issues[ReleaseDate], "&lt;" &amp; AE$1)</f>
        <v>#DIV/0!</v>
      </c>
      <c r="AF6" s="15" t="e">
        <f>AVERAGEIFS(Issues[DaysToRelease], Issues[ReleaseDate], "&gt;=" &amp; AE$1, Issues[ReleaseDate], "&lt;" &amp; AF$1)</f>
        <v>#DIV/0!</v>
      </c>
    </row>
    <row r="7" spans="1:32 16384:16384">
      <c r="A7" s="7"/>
      <c r="B7" s="7"/>
      <c r="C7" s="7"/>
    </row>
    <row r="8" spans="1:32 16384:16384">
      <c r="A8" s="7"/>
      <c r="B8" s="7"/>
      <c r="C8" s="7"/>
    </row>
    <row r="9" spans="1:32 16384:16384">
      <c r="A9" s="7"/>
      <c r="B9" s="7"/>
      <c r="C9" s="7"/>
    </row>
    <row r="10" spans="1:32 16384:16384">
      <c r="A10" s="7"/>
      <c r="B10" s="7"/>
      <c r="C10" s="7"/>
    </row>
    <row r="11" spans="1:32 16384:16384">
      <c r="A11" s="7"/>
      <c r="B11" s="7"/>
      <c r="C11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Deployments</vt:lpstr>
      <vt:lpstr>Commits</vt:lpstr>
      <vt:lpstr>Issues</vt:lpstr>
      <vt:lpstr>DORA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Florez Velasquez Juan (EXT)</cp:lastModifiedBy>
  <cp:revision/>
  <dcterms:created xsi:type="dcterms:W3CDTF">2026-02-13T12:16:10Z</dcterms:created>
  <dcterms:modified xsi:type="dcterms:W3CDTF">2026-02-19T08:04:04Z</dcterms:modified>
  <cp:category/>
  <cp:contentStatus/>
</cp:coreProperties>
</file>