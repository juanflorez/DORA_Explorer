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DORA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4D877-D713-40FE-AF86-339B0ED27A6C}" keepAlive="1" interval="0" name="ThisWorkbookDataModel" description="Data Model" type="5" reconnectionMethod="1" refreshedVersion="8" minRefreshableVersion="5" savePassword="0" new="0" deleted="0" onlyUseConnectionFile="0" background="1" refreshOnLoad="0" saveData="0">
    <dbPr connection="Data Model Connection" command="Model" commandType="1"/>
    <olapPr sendLocale="1" rowDrillCount="1000"/>
    <extLst>
      <ext uri="{DE250136-89BD-433C-8126-D09CA5730AF9}"/>
    </extLst>
  </connection>
  <connection id="2" xr16:uid="{91FE546C-786C-4D5E-A885-C29A95526E95}" keepAlive="0" interval="0" name="WorksheetConnection_DORA_DB.xlsx!Commits" type="102" reconnectionMethod="1" refreshedVersion="8" minRefreshableVersion="5" savePassword="0" new="0" deleted="0" onlyUseConnectionFile="0" background="0" refreshOnLoad="0" saveData="0">
    <extLst>
      <ext uri="{DE250136-89BD-433C-8126-D09CA5730AF9}"/>
    </extLst>
  </connection>
  <connection id="3" xr16:uid="{1236987B-213E-468F-95E6-3DE0AA80A9C0}" keepAlive="0" interval="0" name="WorksheetConnection_DORA_DB.xlsx!Issues" type="102" reconnectionMethod="1" refreshedVersion="8" minRefreshableVersion="5" savePassword="0" new="0" deleted="0" onlyUseConnectionFile="0" background="0" refreshOnLoad="0" saveData="0">
    <extLst>
      <ext uri="{DE250136-89BD-433C-8126-D09CA5730AF9}"/>
    </extLst>
  </connection>
  <connection id="4" xr16:uid="{B70615F9-D2BF-46C6-913B-C5B9065D0D75}" keepAlive="0" interval="0" name="WorksheetConnection_DORA_DB.xlsx!Releases" type="102" reconnectionMethod="1" refreshedVersion="8" minRefreshableVersion="5" savePassword="0" new="0" deleted="0" onlyUseConnectionFile="0" background="0" refreshOnLoad="0" saveData="0">
    <extLst>
      <ext uri="{DE250136-89BD-433C-8126-D09CA5730AF9}"/>
    </extLst>
  </connection>
</connections>
</file>

<file path=xl/sharedStrings.xml><?xml version="1.0" encoding="utf-8"?>
<sst xmlns="http://schemas.openxmlformats.org/spreadsheetml/2006/main" count="39" uniqueCount="25">
  <si>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</si>
  <si>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</si>
  <si>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</si>
  <si>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</si>
  <si>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</si>
  <si>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</si>
  <si>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</si>
  <si>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</si>
  <si>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</si>
  <si>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</si>
  <si>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</si>
  <si>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</si>
  <si>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</si>
  <si>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</si>
  <si>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</si>
  <si>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</si>
  <si>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</si>
  <si>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</si>
  <si>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</si>
  <si>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</si>
  <si>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</si>
  <si>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</si>
  <si>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</si>
  <si>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Helper row, total releases</t>
  </si>
  <si>
    <t xml:space="preserve">Helper row, total failed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</si>
</sst>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dd/mm/yy;@"/>
    <numFmt numFmtId="167" formatCode="0"/>
    <numFmt numFmtId="168" formatCode="dd/mm/yyyy;@"/>
    <numFmt numFmtId="169" formatCode="0.00"/>
    <numFmt numFmtId="170" formatCode="d/mm/yyyy;@"/>
    <numFmt numFmtId="171" formatCode="dd\.mm\.yy;@"/>
    <numFmt numFmtId="172" formatCode="0.00%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onnections" Target="connection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>
                  <c:pt idx="0">
                    <c:v>01.03.27</c:v>
                  </c:pt>
                </c:lvl>
                <c:lvl>
                  <c:pt idx="0">
                    <c:v>01.02.27</c:v>
                  </c:pt>
                </c:lvl>
                <c:lvl>
                  <c:pt idx="0">
                    <c:v>01.01.27</c:v>
                  </c:pt>
                </c:lvl>
                <c:lvl>
                  <c:pt idx="0">
                    <c:v>01.12.26</c:v>
                  </c:pt>
                </c:lvl>
                <c:lvl>
                  <c:pt idx="0">
                    <c:v>01.11.26</c:v>
                  </c:pt>
                </c:lvl>
                <c:lvl>
                  <c:pt idx="0">
                    <c:v>01.10.26</c:v>
                  </c:pt>
                </c:lvl>
                <c:lvl>
                  <c:pt idx="0">
                    <c:v>01.09.26</c:v>
                  </c:pt>
                </c:lvl>
                <c:lvl>
                  <c:pt idx="0">
                    <c:v>01.08.26</c:v>
                  </c:pt>
                </c:lvl>
                <c:lvl>
                  <c:pt idx="0">
                    <c:v>01.07.26</c:v>
                  </c:pt>
                </c:lvl>
                <c:lvl>
                  <c:pt idx="0">
                    <c:v>01.06.26</c:v>
                  </c:pt>
                </c:lvl>
                <c:lvl>
                  <c:pt idx="0">
                    <c:v>01.05.26</c:v>
                  </c:pt>
                </c:lvl>
                <c:lvl>
                  <c:pt idx="0">
                    <c:v>01.04.26</c:v>
                  </c:pt>
                </c:lvl>
                <c:lvl>
                  <c:pt idx="0">
                    <c:v>01.03.26</c:v>
                  </c:pt>
                </c:lvl>
                <c:lvl>
                  <c:pt idx="0">
                    <c:v>01.02.26</c:v>
                  </c:pt>
                </c:lvl>
                <c:lvl>
                  <c:pt idx="0">
                    <c:v>01.01.26</c:v>
                  </c:pt>
                </c:lvl>
                <c:lvl>
                  <c:pt idx="0">
                    <c:v>01.12.25</c:v>
                  </c:pt>
                </c:lvl>
                <c:lvl>
                  <c:pt idx="0">
                    <c:v>01.11.25</c:v>
                  </c:pt>
                </c:lvl>
                <c:lvl>
                  <c:pt idx="0">
                    <c:v>01.10.25</c:v>
                  </c:pt>
                </c:lvl>
                <c:lvl>
                  <c:pt idx="0">
                    <c:v>01.09.25</c:v>
                  </c:pt>
                </c:lvl>
                <c:lvl>
                  <c:pt idx="0">
                    <c:v>01.08.25</c:v>
                  </c:pt>
                </c:lvl>
                <c:lvl>
                  <c:pt idx="0">
                    <c:v>01.07.25</c:v>
                  </c:pt>
                </c:lvl>
                <c:lvl>
                  <c:pt idx="0">
                    <c:v>01.06.25</c:v>
                  </c:pt>
                </c:lvl>
                <c:lvl>
                  <c:pt idx="0">
                    <c:v>01.05.25</c:v>
                  </c:pt>
                </c:lvl>
                <c:lvl>
                  <c:pt idx="0">
                    <c:v>01.04.25</c:v>
                  </c:pt>
                </c:lvl>
                <c:lvl>
                  <c:pt idx="0">
                    <c:v>01.03.25</c:v>
                  </c:pt>
                </c:lvl>
                <c:lvl>
                  <c:pt idx="0">
                    <c:v>01.02.25</c:v>
                  </c:pt>
                </c:lvl>
                <c:lvl>
                  <c:pt idx="0">
                    <c:v>01.01.25</c:v>
                  </c:pt>
                </c:lvl>
                <c:lvl>
                  <c:pt idx="0">
                    <c:v>01.12.24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10</c:v>
                </c:pt>
                <c:pt idx="11">
                  <c:v>18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>
                  <c:pt idx="0">
                    <c:v>01.03.27</c:v>
                  </c:pt>
                </c:lvl>
                <c:lvl>
                  <c:pt idx="0">
                    <c:v>01.02.27</c:v>
                  </c:pt>
                </c:lvl>
                <c:lvl>
                  <c:pt idx="0">
                    <c:v>01.01.27</c:v>
                  </c:pt>
                </c:lvl>
                <c:lvl>
                  <c:pt idx="0">
                    <c:v>01.12.26</c:v>
                  </c:pt>
                </c:lvl>
                <c:lvl>
                  <c:pt idx="0">
                    <c:v>01.11.26</c:v>
                  </c:pt>
                </c:lvl>
                <c:lvl>
                  <c:pt idx="0">
                    <c:v>01.10.26</c:v>
                  </c:pt>
                </c:lvl>
                <c:lvl>
                  <c:pt idx="0">
                    <c:v>01.09.26</c:v>
                  </c:pt>
                </c:lvl>
                <c:lvl>
                  <c:pt idx="0">
                    <c:v>01.08.26</c:v>
                  </c:pt>
                </c:lvl>
                <c:lvl>
                  <c:pt idx="0">
                    <c:v>01.07.26</c:v>
                  </c:pt>
                </c:lvl>
                <c:lvl>
                  <c:pt idx="0">
                    <c:v>01.06.26</c:v>
                  </c:pt>
                </c:lvl>
                <c:lvl>
                  <c:pt idx="0">
                    <c:v>01.05.26</c:v>
                  </c:pt>
                </c:lvl>
                <c:lvl>
                  <c:pt idx="0">
                    <c:v>01.04.26</c:v>
                  </c:pt>
                </c:lvl>
                <c:lvl>
                  <c:pt idx="0">
                    <c:v>01.03.26</c:v>
                  </c:pt>
                </c:lvl>
                <c:lvl>
                  <c:pt idx="0">
                    <c:v>01.02.26</c:v>
                  </c:pt>
                </c:lvl>
                <c:lvl>
                  <c:pt idx="0">
                    <c:v>01.01.26</c:v>
                  </c:pt>
                </c:lvl>
                <c:lvl>
                  <c:pt idx="0">
                    <c:v>01.12.25</c:v>
                  </c:pt>
                </c:lvl>
                <c:lvl>
                  <c:pt idx="0">
                    <c:v>01.11.25</c:v>
                  </c:pt>
                </c:lvl>
                <c:lvl>
                  <c:pt idx="0">
                    <c:v>01.10.25</c:v>
                  </c:pt>
                </c:lvl>
                <c:lvl>
                  <c:pt idx="0">
                    <c:v>01.09.25</c:v>
                  </c:pt>
                </c:lvl>
                <c:lvl>
                  <c:pt idx="0">
                    <c:v>01.08.25</c:v>
                  </c:pt>
                </c:lvl>
                <c:lvl>
                  <c:pt idx="0">
                    <c:v>01.07.25</c:v>
                  </c:pt>
                </c:lvl>
                <c:lvl>
                  <c:pt idx="0">
                    <c:v>01.06.25</c:v>
                  </c:pt>
                </c:lvl>
                <c:lvl>
                  <c:pt idx="0">
                    <c:v>01.05.25</c:v>
                  </c:pt>
                </c:lvl>
                <c:lvl>
                  <c:pt idx="0">
                    <c:v>01.04.25</c:v>
                  </c:pt>
                </c:lvl>
                <c:lvl>
                  <c:pt idx="0">
                    <c:v>01.03.25</c:v>
                  </c:pt>
                </c:lvl>
                <c:lvl>
                  <c:pt idx="0">
                    <c:v>01.02.25</c:v>
                  </c:pt>
                </c:lvl>
                <c:lvl>
                  <c:pt idx="0">
                    <c:v>01.01.25</c:v>
                  </c:pt>
                </c:lvl>
                <c:lvl>
                  <c:pt idx="0">
                    <c:v>01.12.24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10</c:v>
                </c:pt>
                <c:pt idx="11">
                  <c:v>18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>
                  <c:pt idx="0">
                    <c:v>01.03.27</c:v>
                  </c:pt>
                </c:lvl>
                <c:lvl>
                  <c:pt idx="0">
                    <c:v>01.02.27</c:v>
                  </c:pt>
                </c:lvl>
                <c:lvl>
                  <c:pt idx="0">
                    <c:v>01.01.27</c:v>
                  </c:pt>
                </c:lvl>
                <c:lvl>
                  <c:pt idx="0">
                    <c:v>01.12.26</c:v>
                  </c:pt>
                </c:lvl>
                <c:lvl>
                  <c:pt idx="0">
                    <c:v>01.11.26</c:v>
                  </c:pt>
                </c:lvl>
                <c:lvl>
                  <c:pt idx="0">
                    <c:v>01.10.26</c:v>
                  </c:pt>
                </c:lvl>
                <c:lvl>
                  <c:pt idx="0">
                    <c:v>01.09.26</c:v>
                  </c:pt>
                </c:lvl>
                <c:lvl>
                  <c:pt idx="0">
                    <c:v>01.08.26</c:v>
                  </c:pt>
                </c:lvl>
                <c:lvl>
                  <c:pt idx="0">
                    <c:v>01.07.26</c:v>
                  </c:pt>
                </c:lvl>
                <c:lvl>
                  <c:pt idx="0">
                    <c:v>01.06.26</c:v>
                  </c:pt>
                </c:lvl>
                <c:lvl>
                  <c:pt idx="0">
                    <c:v>01.05.26</c:v>
                  </c:pt>
                </c:lvl>
                <c:lvl>
                  <c:pt idx="0">
                    <c:v>01.04.26</c:v>
                  </c:pt>
                </c:lvl>
                <c:lvl>
                  <c:pt idx="0">
                    <c:v>01.03.26</c:v>
                  </c:pt>
                </c:lvl>
                <c:lvl>
                  <c:pt idx="0">
                    <c:v>01.02.26</c:v>
                  </c:pt>
                </c:lvl>
                <c:lvl>
                  <c:pt idx="0">
                    <c:v>01.01.26</c:v>
                  </c:pt>
                </c:lvl>
                <c:lvl>
                  <c:pt idx="0">
                    <c:v>01.12.25</c:v>
                  </c:pt>
                </c:lvl>
                <c:lvl>
                  <c:pt idx="0">
                    <c:v>01.11.25</c:v>
                  </c:pt>
                </c:lvl>
                <c:lvl>
                  <c:pt idx="0">
                    <c:v>01.10.25</c:v>
                  </c:pt>
                </c:lvl>
                <c:lvl>
                  <c:pt idx="0">
                    <c:v>01.09.25</c:v>
                  </c:pt>
                </c:lvl>
                <c:lvl>
                  <c:pt idx="0">
                    <c:v>01.08.25</c:v>
                  </c:pt>
                </c:lvl>
                <c:lvl>
                  <c:pt idx="0">
                    <c:v>01.07.25</c:v>
                  </c:pt>
                </c:lvl>
                <c:lvl>
                  <c:pt idx="0">
                    <c:v>01.06.25</c:v>
                  </c:pt>
                </c:lvl>
                <c:lvl>
                  <c:pt idx="0">
                    <c:v>01.05.25</c:v>
                  </c:pt>
                </c:lvl>
                <c:lvl>
                  <c:pt idx="0">
                    <c:v>01.04.25</c:v>
                  </c:pt>
                </c:lvl>
                <c:lvl>
                  <c:pt idx="0">
                    <c:v>01.03.25</c:v>
                  </c:pt>
                </c:lvl>
                <c:lvl>
                  <c:pt idx="0">
                    <c:v>01.02.25</c:v>
                  </c:pt>
                </c:lvl>
                <c:lvl>
                  <c:pt idx="0">
                    <c:v>01.01.25</c:v>
                  </c:pt>
                </c:lvl>
                <c:lvl>
                  <c:pt idx="0">
                    <c:v>01.12.24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0.166666666666667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>
                  <c:pt idx="0">
                    <c:v>01.03.27</c:v>
                  </c:pt>
                </c:lvl>
                <c:lvl>
                  <c:pt idx="0">
                    <c:v>01.02.27</c:v>
                  </c:pt>
                </c:lvl>
                <c:lvl>
                  <c:pt idx="0">
                    <c:v>01.01.27</c:v>
                  </c:pt>
                </c:lvl>
                <c:lvl>
                  <c:pt idx="0">
                    <c:v>01.12.26</c:v>
                  </c:pt>
                </c:lvl>
                <c:lvl>
                  <c:pt idx="0">
                    <c:v>01.11.26</c:v>
                  </c:pt>
                </c:lvl>
                <c:lvl>
                  <c:pt idx="0">
                    <c:v>01.10.26</c:v>
                  </c:pt>
                </c:lvl>
                <c:lvl>
                  <c:pt idx="0">
                    <c:v>01.09.26</c:v>
                  </c:pt>
                </c:lvl>
                <c:lvl>
                  <c:pt idx="0">
                    <c:v>01.08.26</c:v>
                  </c:pt>
                </c:lvl>
                <c:lvl>
                  <c:pt idx="0">
                    <c:v>01.07.26</c:v>
                  </c:pt>
                </c:lvl>
                <c:lvl>
                  <c:pt idx="0">
                    <c:v>01.06.26</c:v>
                  </c:pt>
                </c:lvl>
                <c:lvl>
                  <c:pt idx="0">
                    <c:v>01.05.26</c:v>
                  </c:pt>
                </c:lvl>
                <c:lvl>
                  <c:pt idx="0">
                    <c:v>01.04.26</c:v>
                  </c:pt>
                </c:lvl>
                <c:lvl>
                  <c:pt idx="0">
                    <c:v>01.03.26</c:v>
                  </c:pt>
                </c:lvl>
                <c:lvl>
                  <c:pt idx="0">
                    <c:v>01.02.26</c:v>
                  </c:pt>
                </c:lvl>
                <c:lvl>
                  <c:pt idx="0">
                    <c:v>01.01.26</c:v>
                  </c:pt>
                </c:lvl>
                <c:lvl>
                  <c:pt idx="0">
                    <c:v>01.12.25</c:v>
                  </c:pt>
                </c:lvl>
                <c:lvl>
                  <c:pt idx="0">
                    <c:v>01.11.25</c:v>
                  </c:pt>
                </c:lvl>
                <c:lvl>
                  <c:pt idx="0">
                    <c:v>01.10.25</c:v>
                  </c:pt>
                </c:lvl>
                <c:lvl>
                  <c:pt idx="0">
                    <c:v>01.09.25</c:v>
                  </c:pt>
                </c:lvl>
                <c:lvl>
                  <c:pt idx="0">
                    <c:v>01.08.25</c:v>
                  </c:pt>
                </c:lvl>
                <c:lvl>
                  <c:pt idx="0">
                    <c:v>01.07.25</c:v>
                  </c:pt>
                </c:lvl>
                <c:lvl>
                  <c:pt idx="0">
                    <c:v>01.06.25</c:v>
                  </c:pt>
                </c:lvl>
                <c:lvl>
                  <c:pt idx="0">
                    <c:v>01.05.25</c:v>
                  </c:pt>
                </c:lvl>
                <c:lvl>
                  <c:pt idx="0">
                    <c:v>01.04.25</c:v>
                  </c:pt>
                </c:lvl>
                <c:lvl>
                  <c:pt idx="0">
                    <c:v>01.03.25</c:v>
                  </c:pt>
                </c:lvl>
                <c:lvl>
                  <c:pt idx="0">
                    <c:v>01.02.25</c:v>
                  </c:pt>
                </c:lvl>
                <c:lvl>
                  <c:pt idx="0">
                    <c:v>01.01.25</c:v>
                  </c:pt>
                </c:lvl>
                <c:lvl>
                  <c:pt idx="0">
                    <c:v>01.12.24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0</c:v>
                </c:pt>
                <c:pt idx="9">
                  <c:v>1.4</c:v>
                </c:pt>
                <c:pt idx="10">
                  <c:v>3.52941176470588</c:v>
                </c:pt>
                <c:pt idx="11">
                  <c:v>1</c:v>
                </c:pt>
                <c:pt idx="12">
                  <c:v>16.2</c:v>
                </c:pt>
                <c:pt idx="13">
                  <c:v>1</c:v>
                </c:pt>
                <c:pt idx="14">
                  <c:v>2.85714285714286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>
                  <c:pt idx="0">
                    <c:v>01.03.27</c:v>
                  </c:pt>
                </c:lvl>
                <c:lvl>
                  <c:pt idx="0">
                    <c:v>01.02.27</c:v>
                  </c:pt>
                </c:lvl>
                <c:lvl>
                  <c:pt idx="0">
                    <c:v>01.01.27</c:v>
                  </c:pt>
                </c:lvl>
                <c:lvl>
                  <c:pt idx="0">
                    <c:v>01.12.26</c:v>
                  </c:pt>
                </c:lvl>
                <c:lvl>
                  <c:pt idx="0">
                    <c:v>01.11.26</c:v>
                  </c:pt>
                </c:lvl>
                <c:lvl>
                  <c:pt idx="0">
                    <c:v>01.10.26</c:v>
                  </c:pt>
                </c:lvl>
                <c:lvl>
                  <c:pt idx="0">
                    <c:v>01.09.26</c:v>
                  </c:pt>
                </c:lvl>
                <c:lvl>
                  <c:pt idx="0">
                    <c:v>01.08.26</c:v>
                  </c:pt>
                </c:lvl>
                <c:lvl>
                  <c:pt idx="0">
                    <c:v>01.07.26</c:v>
                  </c:pt>
                </c:lvl>
                <c:lvl>
                  <c:pt idx="0">
                    <c:v>01.06.26</c:v>
                  </c:pt>
                </c:lvl>
                <c:lvl>
                  <c:pt idx="0">
                    <c:v>01.05.26</c:v>
                  </c:pt>
                </c:lvl>
                <c:lvl>
                  <c:pt idx="0">
                    <c:v>01.04.26</c:v>
                  </c:pt>
                </c:lvl>
                <c:lvl>
                  <c:pt idx="0">
                    <c:v>01.03.26</c:v>
                  </c:pt>
                </c:lvl>
                <c:lvl>
                  <c:pt idx="0">
                    <c:v>01.02.26</c:v>
                  </c:pt>
                </c:lvl>
                <c:lvl>
                  <c:pt idx="0">
                    <c:v>01.01.26</c:v>
                  </c:pt>
                </c:lvl>
                <c:lvl>
                  <c:pt idx="0">
                    <c:v>01.12.25</c:v>
                  </c:pt>
                </c:lvl>
                <c:lvl>
                  <c:pt idx="0">
                    <c:v>01.11.25</c:v>
                  </c:pt>
                </c:lvl>
                <c:lvl>
                  <c:pt idx="0">
                    <c:v>01.10.25</c:v>
                  </c:pt>
                </c:lvl>
                <c:lvl>
                  <c:pt idx="0">
                    <c:v>01.09.25</c:v>
                  </c:pt>
                </c:lvl>
                <c:lvl>
                  <c:pt idx="0">
                    <c:v>01.08.25</c:v>
                  </c:pt>
                </c:lvl>
                <c:lvl>
                  <c:pt idx="0">
                    <c:v>01.07.25</c:v>
                  </c:pt>
                </c:lvl>
                <c:lvl>
                  <c:pt idx="0">
                    <c:v>01.06.25</c:v>
                  </c:pt>
                </c:lvl>
                <c:lvl>
                  <c:pt idx="0">
                    <c:v>01.05.25</c:v>
                  </c:pt>
                </c:lvl>
                <c:lvl>
                  <c:pt idx="0">
                    <c:v>01.04.25</c:v>
                  </c:pt>
                </c:lvl>
                <c:lvl>
                  <c:pt idx="0">
                    <c:v>01.03.25</c:v>
                  </c:pt>
                </c:lvl>
                <c:lvl>
                  <c:pt idx="0">
                    <c:v>01.02.25</c:v>
                  </c:pt>
                </c:lvl>
                <c:lvl>
                  <c:pt idx="0">
                    <c:v>01.01.25</c:v>
                  </c:pt>
                </c:lvl>
                <c:lvl>
                  <c:pt idx="0">
                    <c:v>01.12.24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0.25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455169"/>
        <c:axId val="62023533"/>
      </c:lineChart>
      <c:dateAx>
        <c:axId val="19455169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2023533"/>
        <c:crosses val="autoZero"/>
        <c:auto val="1"/>
        <c:lblOffset val="100"/>
        <c:baseTimeUnit val="months"/>
      </c:dateAx>
      <c:valAx>
        <c:axId val="620235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94551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DORA_Manual!$E$1:$AF$1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DORA_Manual!$E$2:$AF$2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10</c:v>
                </c:pt>
                <c:pt idx="11">
                  <c:v>18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DORA_Manual!$E$1:$AF$1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DORA_Manual!$E$3:$AF$3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10</c:v>
                </c:pt>
                <c:pt idx="11">
                  <c:v>18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DORA_Manual!$E$1:$AF$1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DORA_Manual!$E$4:$AF$4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0.166666666666667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DORA_Manual!$E$1:$AF$1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DORA_Manual!$E$5:$AF$5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1.4</c:v>
                </c:pt>
                <c:pt idx="10">
                  <c:v>3.52941176470588</c:v>
                </c:pt>
                <c:pt idx="11">
                  <c:v>1</c:v>
                </c:pt>
                <c:pt idx="12">
                  <c:v>16.2</c:v>
                </c:pt>
                <c:pt idx="13">
                  <c:v>1</c:v>
                </c:pt>
                <c:pt idx="14">
                  <c:v>2.85714285714286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DORA_Manual!$E$1:$AF$1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DORA_Manual!$E$6:$AF$6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0.25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327375"/>
        <c:axId val="24314842"/>
      </c:lineChart>
      <c:dateAx>
        <c:axId val="20327375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4314842"/>
        <c:crosses val="autoZero"/>
        <c:auto val="1"/>
        <c:lblOffset val="100"/>
        <c:baseTimeUnit val="months"/>
      </c:dateAx>
      <c:valAx>
        <c:axId val="243148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03273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514080</xdr:colOff>
      <xdr:row>21</xdr:row>
      <xdr:rowOff>85320</xdr:rowOff>
    </xdr:to>
    <xdr:graphicFrame>
      <xdr:nvGraphicFramePr>
        <xdr:cNvPr id="1" name="Chart 1"/>
        <xdr:cNvGraphicFramePr/>
      </xdr:nvGraphicFramePr>
      <xdr:xfrm>
        <a:off x="18488520" y="1342800"/>
        <a:ext cx="5118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514080</xdr:colOff>
      <xdr:row>21</xdr:row>
      <xdr:rowOff>85320</xdr:rowOff>
    </xdr:to>
    <xdr:graphicFrame>
      <xdr:nvGraphicFramePr>
        <xdr:cNvPr id="2" name="Chart 1"/>
        <xdr:cNvGraphicFramePr/>
      </xdr:nvGraphicFramePr>
      <xdr:xfrm>
        <a:off x="19585440" y="1236240"/>
        <a:ext cx="5118480" cy="252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59" headerRowCount="1" totalsRowCount="0" totalsRowShown="0">
  <autoFilter ref="A1:D59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59" headerRowCount="1" totalsRowCount="0" totalsRowShown="0">
  <autoFilter ref="A1:D59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19" headerRowCount="1" totalsRowCount="0" totalsRowShown="0">
  <autoFilter ref="A1:E19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.86"/>
    <col collapsed="false" customWidth="true" hidden="false" outlineLevel="0" max="2" min="2" style="1" width="13.86"/>
    <col collapsed="false" customWidth="true" hidden="false" outlineLevel="0" max="3" min="3" style="1" width="14.43"/>
    <col collapsed="false" customWidth="true" hidden="false" outlineLevel="0" max="4" min="4" style="0" width="9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5" hidden="false" customHeight="false" outlineLevel="0" collapsed="false">
      <c r="A2" s="4" t="n">
        <v>1</v>
      </c>
      <c r="B2" s="5" t="n">
        <v>45896</v>
      </c>
      <c r="C2" s="5" t="n">
        <v>45896</v>
      </c>
      <c r="D2" s="4" t="n">
        <v>0</v>
      </c>
    </row>
    <row r="3" customFormat="false" ht="15" hidden="false" customHeight="false" outlineLevel="0" collapsed="false">
      <c r="A3" s="4" t="n">
        <v>2</v>
      </c>
      <c r="B3" s="5" t="n">
        <v>45896</v>
      </c>
      <c r="C3" s="5" t="n">
        <v>45896</v>
      </c>
      <c r="D3" s="4" t="n">
        <v>0</v>
      </c>
    </row>
    <row r="4" customFormat="false" ht="15" hidden="false" customHeight="false" outlineLevel="0" collapsed="false">
      <c r="A4" s="4" t="n">
        <v>3</v>
      </c>
      <c r="B4" s="5" t="n">
        <v>45898</v>
      </c>
      <c r="C4" s="5" t="n">
        <v>45898</v>
      </c>
      <c r="D4" s="4" t="n">
        <v>0</v>
      </c>
    </row>
    <row r="5" customFormat="false" ht="15" hidden="false" customHeight="false" outlineLevel="0" collapsed="false">
      <c r="A5" s="4" t="n">
        <v>4</v>
      </c>
      <c r="B5" s="5" t="n">
        <v>45898</v>
      </c>
      <c r="C5" s="5" t="n">
        <v>45898</v>
      </c>
      <c r="D5" s="4" t="n">
        <v>0</v>
      </c>
    </row>
    <row r="6" customFormat="false" ht="15" hidden="false" customHeight="false" outlineLevel="0" collapsed="false">
      <c r="A6" s="4" t="n">
        <v>5</v>
      </c>
      <c r="B6" s="5" t="n">
        <v>45901</v>
      </c>
      <c r="C6" s="5" t="n">
        <v>45901</v>
      </c>
      <c r="D6" s="4" t="n">
        <v>0</v>
      </c>
    </row>
    <row r="7" customFormat="false" ht="15" hidden="false" customHeight="false" outlineLevel="0" collapsed="false">
      <c r="A7" s="4" t="n">
        <v>6</v>
      </c>
      <c r="B7" s="5" t="n">
        <v>45902</v>
      </c>
      <c r="C7" s="5" t="n">
        <v>45902</v>
      </c>
      <c r="D7" s="4" t="n">
        <v>0</v>
      </c>
    </row>
    <row r="8" customFormat="false" ht="15" hidden="false" customHeight="false" outlineLevel="0" collapsed="false">
      <c r="A8" s="4" t="n">
        <v>7</v>
      </c>
      <c r="B8" s="5" t="n">
        <v>45905</v>
      </c>
      <c r="C8" s="5" t="n">
        <v>45905</v>
      </c>
      <c r="D8" s="4" t="n">
        <v>1</v>
      </c>
    </row>
    <row r="9" customFormat="false" ht="15" hidden="false" customHeight="false" outlineLevel="0" collapsed="false">
      <c r="A9" s="4" t="n">
        <v>8</v>
      </c>
      <c r="B9" s="5" t="n">
        <v>45926</v>
      </c>
      <c r="C9" s="5" t="n">
        <v>45926</v>
      </c>
      <c r="D9" s="4" t="n">
        <v>0</v>
      </c>
    </row>
    <row r="10" customFormat="false" ht="15" hidden="false" customHeight="false" outlineLevel="0" collapsed="false">
      <c r="A10" s="4" t="n">
        <v>9</v>
      </c>
      <c r="B10" s="5" t="n">
        <v>45929</v>
      </c>
      <c r="C10" s="5" t="n">
        <v>45929</v>
      </c>
      <c r="D10" s="4" t="n">
        <v>0</v>
      </c>
    </row>
    <row r="11" customFormat="false" ht="15" hidden="false" customHeight="false" outlineLevel="0" collapsed="false">
      <c r="A11" s="4" t="n">
        <v>10</v>
      </c>
      <c r="B11" s="5" t="n">
        <v>45929</v>
      </c>
      <c r="C11" s="5" t="n">
        <v>45929</v>
      </c>
      <c r="D11" s="4" t="n">
        <v>0</v>
      </c>
    </row>
    <row r="12" customFormat="false" ht="15" hidden="false" customHeight="false" outlineLevel="0" collapsed="false">
      <c r="A12" s="4" t="n">
        <v>11</v>
      </c>
      <c r="B12" s="5" t="n">
        <v>45929</v>
      </c>
      <c r="C12" s="5" t="n">
        <v>45929</v>
      </c>
      <c r="D12" s="4" t="n">
        <v>0</v>
      </c>
    </row>
    <row r="13" customFormat="false" ht="15" hidden="false" customHeight="false" outlineLevel="0" collapsed="false">
      <c r="A13" s="4" t="n">
        <v>12</v>
      </c>
      <c r="B13" s="5" t="n">
        <v>45929</v>
      </c>
      <c r="C13" s="5" t="n">
        <v>45929</v>
      </c>
      <c r="D13" s="4" t="n">
        <v>0</v>
      </c>
    </row>
    <row r="14" customFormat="false" ht="15" hidden="false" customHeight="false" outlineLevel="0" collapsed="false">
      <c r="A14" s="4" t="n">
        <v>13</v>
      </c>
      <c r="B14" s="5" t="n">
        <v>45930</v>
      </c>
      <c r="C14" s="5" t="n">
        <v>45930</v>
      </c>
      <c r="D14" s="4" t="n">
        <v>0</v>
      </c>
    </row>
    <row r="15" customFormat="false" ht="15" hidden="false" customHeight="false" outlineLevel="0" collapsed="false">
      <c r="A15" s="4" t="n">
        <v>14</v>
      </c>
      <c r="B15" s="5" t="n">
        <v>45930</v>
      </c>
      <c r="C15" s="5" t="n">
        <v>45930</v>
      </c>
      <c r="D15" s="4" t="n">
        <v>0</v>
      </c>
    </row>
    <row r="16" customFormat="false" ht="15" hidden="false" customHeight="false" outlineLevel="0" collapsed="false">
      <c r="A16" s="4" t="n">
        <v>15</v>
      </c>
      <c r="B16" s="5" t="n">
        <v>45931</v>
      </c>
      <c r="C16" s="5" t="n">
        <v>45931</v>
      </c>
      <c r="D16" s="4" t="n">
        <v>0</v>
      </c>
    </row>
    <row r="17" customFormat="false" ht="15" hidden="false" customHeight="false" outlineLevel="0" collapsed="false">
      <c r="A17" s="4" t="n">
        <v>16</v>
      </c>
      <c r="B17" s="5" t="n">
        <v>45931</v>
      </c>
      <c r="C17" s="5" t="n">
        <v>45931</v>
      </c>
      <c r="D17" s="4" t="n">
        <v>0</v>
      </c>
    </row>
    <row r="18" customFormat="false" ht="15" hidden="false" customHeight="false" outlineLevel="0" collapsed="false">
      <c r="A18" s="4" t="n">
        <v>17</v>
      </c>
      <c r="B18" s="5" t="n">
        <v>45931</v>
      </c>
      <c r="C18" s="5" t="n">
        <v>45931</v>
      </c>
      <c r="D18" s="4" t="n">
        <v>0</v>
      </c>
    </row>
    <row r="19" customFormat="false" ht="15" hidden="false" customHeight="false" outlineLevel="0" collapsed="false">
      <c r="A19" s="4" t="n">
        <v>18</v>
      </c>
      <c r="B19" s="5" t="n">
        <v>45931</v>
      </c>
      <c r="C19" s="5" t="n">
        <v>45931</v>
      </c>
      <c r="D19" s="4" t="n">
        <v>0</v>
      </c>
    </row>
    <row r="20" customFormat="false" ht="15" hidden="false" customHeight="false" outlineLevel="0" collapsed="false">
      <c r="A20" s="4" t="n">
        <v>19</v>
      </c>
      <c r="B20" s="5" t="n">
        <v>45931</v>
      </c>
      <c r="C20" s="5" t="n">
        <v>45931</v>
      </c>
      <c r="D20" s="4" t="n">
        <v>0</v>
      </c>
    </row>
    <row r="21" customFormat="false" ht="15" hidden="false" customHeight="false" outlineLevel="0" collapsed="false">
      <c r="A21" s="4" t="n">
        <v>20</v>
      </c>
      <c r="B21" s="5" t="n">
        <v>45931</v>
      </c>
      <c r="C21" s="5" t="n">
        <v>45931</v>
      </c>
      <c r="D21" s="4" t="n">
        <v>0</v>
      </c>
    </row>
    <row r="22" customFormat="false" ht="15" hidden="false" customHeight="false" outlineLevel="0" collapsed="false">
      <c r="A22" s="4" t="n">
        <v>21</v>
      </c>
      <c r="B22" s="5" t="n">
        <v>45931</v>
      </c>
      <c r="C22" s="5" t="n">
        <v>45931</v>
      </c>
      <c r="D22" s="4" t="n">
        <v>1</v>
      </c>
    </row>
    <row r="23" customFormat="false" ht="15" hidden="false" customHeight="false" outlineLevel="0" collapsed="false">
      <c r="A23" s="4" t="n">
        <v>22</v>
      </c>
      <c r="B23" s="5" t="n">
        <v>45931</v>
      </c>
      <c r="C23" s="5" t="n">
        <v>45931</v>
      </c>
      <c r="D23" s="4" t="n">
        <v>1</v>
      </c>
    </row>
    <row r="24" customFormat="false" ht="15" hidden="false" customHeight="false" outlineLevel="0" collapsed="false">
      <c r="A24" s="4" t="n">
        <v>23</v>
      </c>
      <c r="B24" s="5" t="n">
        <v>45932</v>
      </c>
      <c r="C24" s="5" t="n">
        <v>45932</v>
      </c>
      <c r="D24" s="4" t="n">
        <v>1</v>
      </c>
    </row>
    <row r="25" customFormat="false" ht="15" hidden="false" customHeight="false" outlineLevel="0" collapsed="false">
      <c r="A25" s="4" t="n">
        <v>24</v>
      </c>
      <c r="B25" s="5" t="n">
        <v>45932</v>
      </c>
      <c r="C25" s="5" t="n">
        <v>45932</v>
      </c>
      <c r="D25" s="4" t="n">
        <v>0</v>
      </c>
    </row>
    <row r="26" customFormat="false" ht="15" hidden="false" customHeight="false" outlineLevel="0" collapsed="false">
      <c r="A26" s="4" t="n">
        <v>25</v>
      </c>
      <c r="B26" s="5" t="n">
        <v>45932</v>
      </c>
      <c r="C26" s="5" t="n">
        <v>45932</v>
      </c>
      <c r="D26" s="4" t="n">
        <v>0</v>
      </c>
    </row>
    <row r="27" customFormat="false" ht="15" hidden="false" customHeight="false" outlineLevel="0" collapsed="false">
      <c r="A27" s="4" t="n">
        <v>26</v>
      </c>
      <c r="B27" s="5" t="n">
        <v>45932</v>
      </c>
      <c r="C27" s="5" t="n">
        <v>45932</v>
      </c>
      <c r="D27" s="4" t="n">
        <v>0</v>
      </c>
    </row>
    <row r="28" customFormat="false" ht="15" hidden="false" customHeight="false" outlineLevel="0" collapsed="false">
      <c r="A28" s="4" t="n">
        <v>27</v>
      </c>
      <c r="B28" s="5" t="n">
        <v>45936</v>
      </c>
      <c r="C28" s="5" t="n">
        <v>45936</v>
      </c>
      <c r="D28" s="4" t="n">
        <v>0</v>
      </c>
    </row>
    <row r="29" customFormat="false" ht="15" hidden="false" customHeight="false" outlineLevel="0" collapsed="false">
      <c r="A29" s="4" t="n">
        <v>28</v>
      </c>
      <c r="B29" s="5" t="n">
        <v>45936</v>
      </c>
      <c r="C29" s="5" t="n">
        <v>45936</v>
      </c>
      <c r="D29" s="4" t="n">
        <v>0</v>
      </c>
    </row>
    <row r="30" customFormat="false" ht="15" hidden="false" customHeight="false" outlineLevel="0" collapsed="false">
      <c r="A30" s="4" t="n">
        <v>29</v>
      </c>
      <c r="B30" s="5" t="n">
        <v>45943</v>
      </c>
      <c r="C30" s="5" t="n">
        <v>45943</v>
      </c>
      <c r="D30" s="4" t="n">
        <v>0</v>
      </c>
    </row>
    <row r="31" customFormat="false" ht="15" hidden="false" customHeight="false" outlineLevel="0" collapsed="false">
      <c r="A31" s="4" t="n">
        <v>30</v>
      </c>
      <c r="B31" s="5" t="n">
        <v>45961</v>
      </c>
      <c r="C31" s="5" t="n">
        <v>45961</v>
      </c>
      <c r="D31" s="4" t="n">
        <v>0</v>
      </c>
    </row>
    <row r="32" customFormat="false" ht="15" hidden="false" customHeight="false" outlineLevel="0" collapsed="false">
      <c r="A32" s="4" t="n">
        <v>31</v>
      </c>
      <c r="B32" s="5" t="n">
        <v>45961</v>
      </c>
      <c r="C32" s="5" t="n">
        <v>45961</v>
      </c>
      <c r="D32" s="4" t="n">
        <v>0</v>
      </c>
    </row>
    <row r="33" customFormat="false" ht="15" hidden="false" customHeight="false" outlineLevel="0" collapsed="false">
      <c r="A33" s="4" t="n">
        <v>32</v>
      </c>
      <c r="B33" s="5" t="n">
        <v>45961</v>
      </c>
      <c r="C33" s="5" t="n">
        <v>45961</v>
      </c>
      <c r="D33" s="4" t="n">
        <v>0</v>
      </c>
    </row>
    <row r="34" customFormat="false" ht="15" hidden="false" customHeight="false" outlineLevel="0" collapsed="false">
      <c r="A34" s="4" t="n">
        <v>33</v>
      </c>
      <c r="B34" s="5" t="n">
        <v>45964</v>
      </c>
      <c r="C34" s="5" t="n">
        <v>45964</v>
      </c>
      <c r="D34" s="4" t="n">
        <v>0</v>
      </c>
    </row>
    <row r="35" customFormat="false" ht="15" hidden="false" customHeight="false" outlineLevel="0" collapsed="false">
      <c r="A35" s="4" t="n">
        <v>34</v>
      </c>
      <c r="B35" s="5" t="n">
        <v>45966</v>
      </c>
      <c r="C35" s="5" t="n">
        <v>45966</v>
      </c>
      <c r="D35" s="4" t="n">
        <v>0</v>
      </c>
    </row>
    <row r="36" customFormat="false" ht="15" hidden="false" customHeight="false" outlineLevel="0" collapsed="false">
      <c r="A36" s="4" t="n">
        <v>35</v>
      </c>
      <c r="B36" s="5" t="n">
        <v>45967</v>
      </c>
      <c r="C36" s="5" t="n">
        <v>45967</v>
      </c>
      <c r="D36" s="4" t="n">
        <v>0</v>
      </c>
    </row>
    <row r="37" customFormat="false" ht="15" hidden="false" customHeight="false" outlineLevel="0" collapsed="false">
      <c r="A37" s="4" t="n">
        <v>36</v>
      </c>
      <c r="B37" s="5" t="n">
        <v>45973</v>
      </c>
      <c r="C37" s="5" t="n">
        <v>45973</v>
      </c>
      <c r="D37" s="4" t="n">
        <v>0</v>
      </c>
    </row>
    <row r="38" customFormat="false" ht="15" hidden="false" customHeight="false" outlineLevel="0" collapsed="false">
      <c r="A38" s="4" t="n">
        <v>37</v>
      </c>
      <c r="B38" s="5" t="n">
        <v>45994</v>
      </c>
      <c r="C38" s="5" t="n">
        <v>45994</v>
      </c>
      <c r="D38" s="4" t="n">
        <v>0</v>
      </c>
    </row>
    <row r="39" customFormat="false" ht="15" hidden="false" customHeight="false" outlineLevel="0" collapsed="false">
      <c r="A39" s="4" t="n">
        <v>38</v>
      </c>
      <c r="B39" s="5" t="n">
        <v>45994</v>
      </c>
      <c r="C39" s="5" t="n">
        <v>45994</v>
      </c>
      <c r="D39" s="4" t="n">
        <v>0</v>
      </c>
    </row>
    <row r="40" customFormat="false" ht="15" hidden="false" customHeight="false" outlineLevel="0" collapsed="false">
      <c r="A40" s="4" t="n">
        <v>39</v>
      </c>
      <c r="B40" s="5" t="n">
        <v>45995</v>
      </c>
      <c r="C40" s="5" t="n">
        <v>45995</v>
      </c>
      <c r="D40" s="4" t="n">
        <v>0</v>
      </c>
    </row>
    <row r="41" customFormat="false" ht="15" hidden="false" customHeight="false" outlineLevel="0" collapsed="false">
      <c r="A41" s="4" t="n">
        <v>40</v>
      </c>
      <c r="B41" s="5" t="n">
        <v>45995</v>
      </c>
      <c r="C41" s="5" t="n">
        <v>45995</v>
      </c>
      <c r="D41" s="4" t="n">
        <v>0</v>
      </c>
    </row>
    <row r="42" customFormat="false" ht="15" hidden="false" customHeight="false" outlineLevel="0" collapsed="false">
      <c r="A42" s="4" t="n">
        <v>41</v>
      </c>
      <c r="B42" s="5" t="n">
        <v>45996</v>
      </c>
      <c r="C42" s="5" t="n">
        <v>45996</v>
      </c>
      <c r="D42" s="4" t="n">
        <v>0</v>
      </c>
    </row>
    <row r="43" customFormat="false" ht="15" hidden="false" customHeight="false" outlineLevel="0" collapsed="false">
      <c r="A43" s="4" t="n">
        <v>42</v>
      </c>
      <c r="B43" s="5" t="n">
        <v>45996</v>
      </c>
      <c r="C43" s="5" t="n">
        <v>45996</v>
      </c>
      <c r="D43" s="4" t="n">
        <v>0</v>
      </c>
    </row>
    <row r="44" customFormat="false" ht="15" hidden="false" customHeight="false" outlineLevel="0" collapsed="false">
      <c r="A44" s="4" t="n">
        <v>43</v>
      </c>
      <c r="B44" s="5" t="n">
        <v>45996</v>
      </c>
      <c r="C44" s="5" t="n">
        <v>45996</v>
      </c>
      <c r="D44" s="4" t="n">
        <v>0</v>
      </c>
    </row>
    <row r="45" customFormat="false" ht="15" hidden="false" customHeight="false" outlineLevel="0" collapsed="false">
      <c r="A45" s="4" t="n">
        <v>44</v>
      </c>
      <c r="B45" s="5" t="n">
        <v>46037</v>
      </c>
      <c r="C45" s="5" t="n">
        <v>46037</v>
      </c>
      <c r="D45" s="4" t="n">
        <v>0</v>
      </c>
    </row>
    <row r="46" customFormat="false" ht="15" hidden="false" customHeight="false" outlineLevel="0" collapsed="false">
      <c r="A46" s="4" t="n">
        <v>45</v>
      </c>
      <c r="B46" s="5" t="n">
        <v>46037</v>
      </c>
      <c r="C46" s="5" t="n">
        <v>46037</v>
      </c>
      <c r="D46" s="4" t="n">
        <v>0</v>
      </c>
    </row>
    <row r="47" customFormat="false" ht="15" hidden="false" customHeight="false" outlineLevel="0" collapsed="false">
      <c r="A47" s="4" t="n">
        <v>46</v>
      </c>
      <c r="B47" s="5" t="n">
        <v>46037</v>
      </c>
      <c r="C47" s="5" t="n">
        <v>46037</v>
      </c>
      <c r="D47" s="4" t="n">
        <v>0</v>
      </c>
    </row>
    <row r="48" customFormat="false" ht="15" hidden="false" customHeight="false" outlineLevel="0" collapsed="false">
      <c r="A48" s="4" t="n">
        <v>47</v>
      </c>
      <c r="B48" s="5" t="n">
        <v>46042</v>
      </c>
      <c r="C48" s="5" t="n">
        <v>46042</v>
      </c>
      <c r="D48" s="4" t="n">
        <v>0</v>
      </c>
    </row>
    <row r="49" customFormat="false" ht="15" hidden="false" customHeight="false" outlineLevel="0" collapsed="false">
      <c r="A49" s="4" t="n">
        <v>48</v>
      </c>
      <c r="B49" s="5" t="n">
        <v>46044</v>
      </c>
      <c r="C49" s="5" t="n">
        <v>46044</v>
      </c>
      <c r="D49" s="4" t="n">
        <v>0</v>
      </c>
    </row>
    <row r="50" customFormat="false" ht="15" hidden="false" customHeight="false" outlineLevel="0" collapsed="false">
      <c r="A50" s="4" t="n">
        <v>49</v>
      </c>
      <c r="B50" s="5" t="n">
        <v>46045</v>
      </c>
      <c r="C50" s="5" t="n">
        <v>46045</v>
      </c>
      <c r="D50" s="4" t="n">
        <v>0</v>
      </c>
    </row>
    <row r="51" customFormat="false" ht="15" hidden="false" customHeight="false" outlineLevel="0" collapsed="false">
      <c r="A51" s="4" t="n">
        <v>50</v>
      </c>
      <c r="B51" s="5" t="n">
        <v>46048</v>
      </c>
      <c r="C51" s="5" t="n">
        <v>46048</v>
      </c>
      <c r="D51" s="4" t="n">
        <v>0</v>
      </c>
    </row>
    <row r="52" customFormat="false" ht="15" hidden="false" customHeight="false" outlineLevel="0" collapsed="false">
      <c r="A52" s="4" t="n">
        <v>51</v>
      </c>
      <c r="B52" s="5" t="n">
        <v>46048</v>
      </c>
      <c r="C52" s="5" t="n">
        <v>46048</v>
      </c>
      <c r="D52" s="4" t="n">
        <v>0</v>
      </c>
    </row>
    <row r="53" customFormat="false" ht="15" hidden="false" customHeight="false" outlineLevel="0" collapsed="false">
      <c r="A53" s="4" t="n">
        <v>52</v>
      </c>
      <c r="B53" s="5" t="n">
        <v>46064</v>
      </c>
      <c r="C53" s="5" t="n">
        <v>46064</v>
      </c>
      <c r="D53" s="4" t="n">
        <v>0</v>
      </c>
    </row>
    <row r="54" customFormat="false" ht="15" hidden="false" customHeight="false" outlineLevel="0" collapsed="false">
      <c r="A54" s="4" t="n">
        <v>53</v>
      </c>
      <c r="B54" s="5" t="n">
        <v>46064</v>
      </c>
      <c r="C54" s="5" t="n">
        <v>46064</v>
      </c>
      <c r="D54" s="4" t="n">
        <v>0</v>
      </c>
    </row>
    <row r="55" customFormat="false" ht="15" hidden="false" customHeight="false" outlineLevel="0" collapsed="false">
      <c r="A55" s="4" t="n">
        <v>54</v>
      </c>
      <c r="B55" s="5" t="n">
        <v>46064</v>
      </c>
      <c r="C55" s="5" t="n">
        <v>46064</v>
      </c>
      <c r="D55" s="4" t="n">
        <v>0</v>
      </c>
    </row>
    <row r="56" customFormat="false" ht="15" hidden="false" customHeight="false" outlineLevel="0" collapsed="false">
      <c r="A56" s="4" t="n">
        <v>55</v>
      </c>
      <c r="B56" s="5" t="n">
        <v>46065</v>
      </c>
      <c r="C56" s="5" t="n">
        <v>46065</v>
      </c>
      <c r="D56" s="4" t="n">
        <v>0</v>
      </c>
    </row>
    <row r="57" customFormat="false" ht="15" hidden="false" customHeight="false" outlineLevel="0" collapsed="false">
      <c r="A57" s="4" t="n">
        <v>56</v>
      </c>
      <c r="B57" s="5" t="n">
        <v>46065</v>
      </c>
      <c r="C57" s="5" t="n">
        <v>46065</v>
      </c>
      <c r="D57" s="4" t="n">
        <v>0</v>
      </c>
    </row>
    <row r="58" customFormat="false" ht="15" hidden="false" customHeight="false" outlineLevel="0" collapsed="false">
      <c r="A58" s="4" t="n">
        <v>57</v>
      </c>
      <c r="B58" s="5" t="n">
        <v>46066</v>
      </c>
      <c r="C58" s="5" t="n">
        <v>46066</v>
      </c>
      <c r="D58" s="4" t="n">
        <v>0</v>
      </c>
    </row>
    <row r="59" customFormat="false" ht="15" hidden="false" customHeight="false" outlineLevel="0" collapsed="false">
      <c r="A59" s="4" t="n">
        <v>58</v>
      </c>
      <c r="B59" s="5" t="n">
        <v>46069</v>
      </c>
      <c r="C59" s="5" t="n">
        <v>46069</v>
      </c>
      <c r="D59" s="4" t="n">
        <v>0</v>
      </c>
    </row>
    <row r="60" customFormat="false" ht="15" hidden="false" customHeight="false" outlineLevel="0" collapsed="false">
      <c r="A60" s="4"/>
      <c r="B60" s="5"/>
      <c r="C60" s="5"/>
      <c r="D6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6" width="14"/>
    <col collapsed="false" customWidth="true" hidden="false" outlineLevel="0" max="3" min="3" style="0" width="15.28"/>
    <col collapsed="false" customWidth="true" hidden="false" outlineLevel="0" max="4" min="4" style="7" width="18.43"/>
  </cols>
  <sheetData>
    <row r="1" s="8" customFormat="true" ht="15" hidden="false" customHeight="false" outlineLevel="0" collapsed="false">
      <c r="A1" s="8" t="s">
        <v>4</v>
      </c>
      <c r="B1" s="9" t="s">
        <v>5</v>
      </c>
      <c r="C1" s="8" t="s">
        <v>0</v>
      </c>
      <c r="D1" s="10" t="s">
        <v>6</v>
      </c>
    </row>
    <row r="2" customFormat="false" ht="15" hidden="false" customHeight="false" outlineLevel="0" collapsed="false">
      <c r="A2" s="4" t="n">
        <v>59006</v>
      </c>
      <c r="B2" s="5" t="n">
        <v>45819</v>
      </c>
      <c r="C2" s="4" t="n">
        <v>12</v>
      </c>
      <c r="D2" s="7" t="n">
        <f aca="false">_xlfn.XLOOKUP(Commits[[#This Row],[DeploymentID]],Deployments[DeploymentID],Deployments[Prod])-Commits[[#This Row],[DateCommit]]</f>
        <v>110</v>
      </c>
    </row>
    <row r="3" customFormat="false" ht="15" hidden="false" customHeight="false" outlineLevel="0" collapsed="false">
      <c r="A3" s="4" t="n">
        <v>55295</v>
      </c>
      <c r="B3" s="5" t="n">
        <v>45896</v>
      </c>
      <c r="C3" s="4" t="n">
        <v>1</v>
      </c>
      <c r="D3" s="7" t="n">
        <f aca="false">_xlfn.XLOOKUP(Commits[[#This Row],[DeploymentID]],Deployments[DeploymentID],Deployments[Prod])-Commits[[#This Row],[DateCommit]]</f>
        <v>0</v>
      </c>
    </row>
    <row r="4" customFormat="false" ht="15" hidden="false" customHeight="false" outlineLevel="0" collapsed="false">
      <c r="A4" s="4" t="n">
        <v>55255</v>
      </c>
      <c r="B4" s="5" t="n">
        <v>45896</v>
      </c>
      <c r="C4" s="4" t="n">
        <v>2</v>
      </c>
      <c r="D4" s="7" t="n">
        <f aca="false">_xlfn.XLOOKUP(Commits[[#This Row],[DeploymentID]],Deployments[DeploymentID],Deployments[Prod])-Commits[[#This Row],[DateCommit]]</f>
        <v>0</v>
      </c>
    </row>
    <row r="5" customFormat="false" ht="15" hidden="false" customHeight="false" outlineLevel="0" collapsed="false">
      <c r="A5" s="4" t="n">
        <v>55554</v>
      </c>
      <c r="B5" s="5" t="n">
        <v>45898</v>
      </c>
      <c r="C5" s="4" t="n">
        <v>3</v>
      </c>
      <c r="D5" s="7" t="n">
        <f aca="false">_xlfn.XLOOKUP(Commits[[#This Row],[DeploymentID]],Deployments[DeploymentID],Deployments[Prod])-Commits[[#This Row],[DateCommit]]</f>
        <v>0</v>
      </c>
    </row>
    <row r="6" customFormat="false" ht="15" hidden="false" customHeight="false" outlineLevel="0" collapsed="false">
      <c r="A6" s="4" t="n">
        <v>55549</v>
      </c>
      <c r="B6" s="5" t="n">
        <v>45898</v>
      </c>
      <c r="C6" s="4" t="n">
        <v>4</v>
      </c>
      <c r="D6" s="7" t="n">
        <f aca="false">_xlfn.XLOOKUP(Commits[[#This Row],[DeploymentID]],Deployments[DeploymentID],Deployments[Prod])-Commits[[#This Row],[DateCommit]]</f>
        <v>0</v>
      </c>
    </row>
    <row r="7" customFormat="false" ht="15" hidden="false" customHeight="false" outlineLevel="0" collapsed="false">
      <c r="A7" s="4" t="n">
        <v>55776</v>
      </c>
      <c r="B7" s="5" t="n">
        <v>45898</v>
      </c>
      <c r="C7" s="4" t="n">
        <v>7</v>
      </c>
      <c r="D7" s="7" t="n">
        <f aca="false">_xlfn.XLOOKUP(Commits[[#This Row],[DeploymentID]],Deployments[DeploymentID],Deployments[Prod])-Commits[[#This Row],[DateCommit]]</f>
        <v>7</v>
      </c>
    </row>
    <row r="8" customFormat="false" ht="15" hidden="false" customHeight="false" outlineLevel="0" collapsed="false">
      <c r="A8" s="4" t="n">
        <v>55704</v>
      </c>
      <c r="B8" s="5" t="n">
        <v>45901</v>
      </c>
      <c r="C8" s="4" t="n">
        <v>5</v>
      </c>
      <c r="D8" s="7" t="n">
        <f aca="false">_xlfn.XLOOKUP(Commits[[#This Row],[DeploymentID]],Deployments[DeploymentID],Deployments[Prod])-Commits[[#This Row],[DateCommit]]</f>
        <v>0</v>
      </c>
    </row>
    <row r="9" customFormat="false" ht="15" hidden="false" customHeight="false" outlineLevel="0" collapsed="false">
      <c r="A9" s="4" t="n">
        <v>59631</v>
      </c>
      <c r="B9" s="5" t="n">
        <v>45901</v>
      </c>
      <c r="C9" s="4" t="n">
        <v>28</v>
      </c>
      <c r="D9" s="7" t="n">
        <f aca="false">_xlfn.XLOOKUP(Commits[[#This Row],[DeploymentID]],Deployments[DeploymentID],Deployments[Prod])-Commits[[#This Row],[DateCommit]]</f>
        <v>35</v>
      </c>
    </row>
    <row r="10" customFormat="false" ht="15" hidden="false" customHeight="false" outlineLevel="0" collapsed="false">
      <c r="A10" s="4" t="n">
        <v>55926</v>
      </c>
      <c r="B10" s="5" t="n">
        <v>45902</v>
      </c>
      <c r="C10" s="4" t="n">
        <v>6</v>
      </c>
      <c r="D10" s="7" t="n">
        <f aca="false">_xlfn.XLOOKUP(Commits[[#This Row],[DeploymentID]],Deployments[DeploymentID],Deployments[Prod])-Commits[[#This Row],[DateCommit]]</f>
        <v>0</v>
      </c>
    </row>
    <row r="11" customFormat="false" ht="15" hidden="false" customHeight="false" outlineLevel="0" collapsed="false">
      <c r="A11" s="4" t="n">
        <v>58630</v>
      </c>
      <c r="B11" s="5" t="n">
        <v>45925</v>
      </c>
      <c r="C11" s="4" t="n">
        <v>8</v>
      </c>
      <c r="D11" s="7" t="n">
        <f aca="false">_xlfn.XLOOKUP(Commits[[#This Row],[DeploymentID]],Deployments[DeploymentID],Deployments[Prod])-Commits[[#This Row],[DateCommit]]</f>
        <v>1</v>
      </c>
    </row>
    <row r="12" customFormat="false" ht="15" hidden="false" customHeight="false" outlineLevel="0" collapsed="false">
      <c r="A12" s="4" t="n">
        <v>58632</v>
      </c>
      <c r="B12" s="5" t="n">
        <v>45925</v>
      </c>
      <c r="C12" s="4" t="n">
        <v>25</v>
      </c>
      <c r="D12" s="7" t="n">
        <f aca="false">_xlfn.XLOOKUP(Commits[[#This Row],[DeploymentID]],Deployments[DeploymentID],Deployments[Prod])-Commits[[#This Row],[DateCommit]]</f>
        <v>7</v>
      </c>
    </row>
    <row r="13" customFormat="false" ht="15" hidden="false" customHeight="false" outlineLevel="0" collapsed="false">
      <c r="A13" s="4" t="n">
        <v>59009</v>
      </c>
      <c r="B13" s="5" t="n">
        <v>45929</v>
      </c>
      <c r="C13" s="4" t="n">
        <v>9</v>
      </c>
      <c r="D13" s="7" t="n">
        <f aca="false">_xlfn.XLOOKUP(Commits[[#This Row],[DeploymentID]],Deployments[DeploymentID],Deployments[Prod])-Commits[[#This Row],[DateCommit]]</f>
        <v>0</v>
      </c>
    </row>
    <row r="14" customFormat="false" ht="15" hidden="false" customHeight="false" outlineLevel="0" collapsed="false">
      <c r="A14" s="4" t="n">
        <v>59012</v>
      </c>
      <c r="B14" s="5" t="n">
        <v>45929</v>
      </c>
      <c r="C14" s="4" t="n">
        <v>10</v>
      </c>
      <c r="D14" s="7" t="n">
        <f aca="false">_xlfn.XLOOKUP(Commits[[#This Row],[DeploymentID]],Deployments[DeploymentID],Deployments[Prod])-Commits[[#This Row],[DateCommit]]</f>
        <v>0</v>
      </c>
    </row>
    <row r="15" customFormat="false" ht="15" hidden="false" customHeight="false" outlineLevel="0" collapsed="false">
      <c r="A15" s="4" t="n">
        <v>59025</v>
      </c>
      <c r="B15" s="5" t="n">
        <v>45929</v>
      </c>
      <c r="C15" s="4" t="n">
        <v>13</v>
      </c>
      <c r="D15" s="7" t="n">
        <f aca="false">_xlfn.XLOOKUP(Commits[[#This Row],[DeploymentID]],Deployments[DeploymentID],Deployments[Prod])-Commits[[#This Row],[DateCommit]]</f>
        <v>1</v>
      </c>
    </row>
    <row r="16" customFormat="false" ht="15" hidden="false" customHeight="false" outlineLevel="0" collapsed="false">
      <c r="A16" s="4" t="n">
        <v>59008</v>
      </c>
      <c r="B16" s="5" t="n">
        <v>45929</v>
      </c>
      <c r="C16" s="4" t="n">
        <v>11</v>
      </c>
      <c r="D16" s="7" t="n">
        <f aca="false">_xlfn.XLOOKUP(Commits[[#This Row],[DeploymentID]],Deployments[DeploymentID],Deployments[Prod])-Commits[[#This Row],[DateCommit]]</f>
        <v>0</v>
      </c>
    </row>
    <row r="17" customFormat="false" ht="15" hidden="false" customHeight="false" outlineLevel="0" collapsed="false">
      <c r="A17" s="4" t="n">
        <v>58995</v>
      </c>
      <c r="B17" s="5" t="n">
        <v>45929</v>
      </c>
      <c r="C17" s="4" t="n">
        <v>14</v>
      </c>
      <c r="D17" s="7" t="n">
        <f aca="false">_xlfn.XLOOKUP(Commits[[#This Row],[DeploymentID]],Deployments[DeploymentID],Deployments[Prod])-Commits[[#This Row],[DateCommit]]</f>
        <v>1</v>
      </c>
    </row>
    <row r="18" customFormat="false" ht="15" hidden="false" customHeight="false" outlineLevel="0" collapsed="false">
      <c r="A18" s="4" t="n">
        <v>59201</v>
      </c>
      <c r="B18" s="5" t="n">
        <v>45929</v>
      </c>
      <c r="C18" s="4" t="n">
        <v>15</v>
      </c>
      <c r="D18" s="7" t="n">
        <f aca="false">_xlfn.XLOOKUP(Commits[[#This Row],[DeploymentID]],Deployments[DeploymentID],Deployments[Prod])-Commits[[#This Row],[DateCommit]]</f>
        <v>2</v>
      </c>
    </row>
    <row r="19" customFormat="false" ht="15" hidden="false" customHeight="false" outlineLevel="0" collapsed="false">
      <c r="A19" s="4" t="n">
        <v>59212</v>
      </c>
      <c r="B19" s="5" t="n">
        <v>45929</v>
      </c>
      <c r="C19" s="4" t="n">
        <v>16</v>
      </c>
      <c r="D19" s="7" t="n">
        <f aca="false">_xlfn.XLOOKUP(Commits[[#This Row],[DeploymentID]],Deployments[DeploymentID],Deployments[Prod])-Commits[[#This Row],[DateCommit]]</f>
        <v>2</v>
      </c>
    </row>
    <row r="20" customFormat="false" ht="15" hidden="false" customHeight="false" outlineLevel="0" collapsed="false">
      <c r="A20" s="4" t="n">
        <v>59219</v>
      </c>
      <c r="B20" s="5" t="n">
        <v>45929</v>
      </c>
      <c r="C20" s="4" t="n">
        <v>19</v>
      </c>
      <c r="D20" s="7" t="n">
        <f aca="false">_xlfn.XLOOKUP(Commits[[#This Row],[DeploymentID]],Deployments[DeploymentID],Deployments[Prod])-Commits[[#This Row],[DateCommit]]</f>
        <v>2</v>
      </c>
    </row>
    <row r="21" customFormat="false" ht="15" hidden="false" customHeight="false" outlineLevel="0" collapsed="false">
      <c r="A21" s="4" t="n">
        <v>59021</v>
      </c>
      <c r="B21" s="5" t="n">
        <v>45929</v>
      </c>
      <c r="C21" s="4" t="n">
        <v>20</v>
      </c>
      <c r="D21" s="7" t="n">
        <f aca="false">_xlfn.XLOOKUP(Commits[[#This Row],[DeploymentID]],Deployments[DeploymentID],Deployments[Prod])-Commits[[#This Row],[DateCommit]]</f>
        <v>2</v>
      </c>
    </row>
    <row r="22" customFormat="false" ht="15" hidden="false" customHeight="false" outlineLevel="0" collapsed="false">
      <c r="A22" s="4" t="n">
        <v>59222</v>
      </c>
      <c r="B22" s="5" t="n">
        <v>45929</v>
      </c>
      <c r="C22" s="4" t="n">
        <v>21</v>
      </c>
      <c r="D22" s="7" t="n">
        <f aca="false">_xlfn.XLOOKUP(Commits[[#This Row],[DeploymentID]],Deployments[DeploymentID],Deployments[Prod])-Commits[[#This Row],[DateCommit]]</f>
        <v>2</v>
      </c>
    </row>
    <row r="23" customFormat="false" ht="15" hidden="false" customHeight="false" outlineLevel="0" collapsed="false">
      <c r="A23" s="4" t="n">
        <v>59223</v>
      </c>
      <c r="B23" s="5" t="n">
        <v>45929</v>
      </c>
      <c r="C23" s="4" t="n">
        <v>22</v>
      </c>
      <c r="D23" s="7" t="n">
        <f aca="false">_xlfn.XLOOKUP(Commits[[#This Row],[DeploymentID]],Deployments[DeploymentID],Deployments[Prod])-Commits[[#This Row],[DateCommit]]</f>
        <v>2</v>
      </c>
    </row>
    <row r="24" customFormat="false" ht="15" hidden="false" customHeight="false" outlineLevel="0" collapsed="false">
      <c r="A24" s="4" t="n">
        <v>59239</v>
      </c>
      <c r="B24" s="5" t="n">
        <v>45929</v>
      </c>
      <c r="C24" s="4" t="n">
        <v>24</v>
      </c>
      <c r="D24" s="11" t="n">
        <f aca="false">_xlfn.XLOOKUP(Commits[[#This Row],[DeploymentID]],Deployments[DeploymentID],Deployments[Prod])-Commits[[#This Row],[DateCommit]]</f>
        <v>3</v>
      </c>
    </row>
    <row r="25" customFormat="false" ht="15" hidden="false" customHeight="false" outlineLevel="0" collapsed="false">
      <c r="A25" s="4" t="n">
        <v>59207</v>
      </c>
      <c r="B25" s="5" t="n">
        <v>45931</v>
      </c>
      <c r="C25" s="4" t="n">
        <v>17</v>
      </c>
      <c r="D25" s="11" t="n">
        <f aca="false">_xlfn.XLOOKUP(Commits[[#This Row],[DeploymentID]],Deployments[DeploymentID],Deployments[Prod])-Commits[[#This Row],[DateCommit]]</f>
        <v>0</v>
      </c>
    </row>
    <row r="26" customFormat="false" ht="15" hidden="false" customHeight="false" outlineLevel="0" collapsed="false">
      <c r="A26" s="4" t="n">
        <v>59209</v>
      </c>
      <c r="B26" s="5" t="n">
        <v>45931</v>
      </c>
      <c r="C26" s="4" t="n">
        <v>18</v>
      </c>
      <c r="D26" s="11" t="n">
        <f aca="false">_xlfn.XLOOKUP(Commits[[#This Row],[DeploymentID]],Deployments[DeploymentID],Deployments[Prod])-Commits[[#This Row],[DateCommit]]</f>
        <v>0</v>
      </c>
    </row>
    <row r="27" customFormat="false" ht="15" hidden="false" customHeight="false" outlineLevel="0" collapsed="false">
      <c r="A27" s="4" t="n">
        <v>59444</v>
      </c>
      <c r="B27" s="5" t="n">
        <v>45932</v>
      </c>
      <c r="C27" s="4" t="n">
        <v>23</v>
      </c>
      <c r="D27" s="11" t="n">
        <f aca="false">_xlfn.XLOOKUP(Commits[[#This Row],[DeploymentID]],Deployments[DeploymentID],Deployments[Prod])-Commits[[#This Row],[DateCommit]]</f>
        <v>0</v>
      </c>
    </row>
    <row r="28" customFormat="false" ht="15" hidden="false" customHeight="false" outlineLevel="0" collapsed="false">
      <c r="A28" s="4" t="n">
        <v>59376</v>
      </c>
      <c r="B28" s="5" t="n">
        <v>45932</v>
      </c>
      <c r="C28" s="4" t="n">
        <v>26</v>
      </c>
      <c r="D28" s="11" t="n">
        <f aca="false">_xlfn.XLOOKUP(Commits[[#This Row],[DeploymentID]],Deployments[DeploymentID],Deployments[Prod])-Commits[[#This Row],[DateCommit]]</f>
        <v>0</v>
      </c>
    </row>
    <row r="29" customFormat="false" ht="15" hidden="false" customHeight="false" outlineLevel="0" collapsed="false">
      <c r="A29" s="4" t="n">
        <v>60614</v>
      </c>
      <c r="B29" s="5" t="n">
        <v>45936</v>
      </c>
      <c r="C29" s="4" t="n">
        <v>29</v>
      </c>
      <c r="D29" s="11" t="n">
        <f aca="false">_xlfn.XLOOKUP(Commits[[#This Row],[DeploymentID]],Deployments[DeploymentID],Deployments[Prod])-Commits[[#This Row],[DateCommit]]</f>
        <v>7</v>
      </c>
    </row>
    <row r="30" customFormat="false" ht="15" hidden="false" customHeight="false" outlineLevel="0" collapsed="false">
      <c r="A30" s="4" t="n">
        <v>59732</v>
      </c>
      <c r="B30" s="5" t="n">
        <v>45936</v>
      </c>
      <c r="C30" s="4" t="n">
        <v>27</v>
      </c>
      <c r="D30" s="11" t="n">
        <f aca="false">_xlfn.XLOOKUP(Commits[[#This Row],[DeploymentID]],Deployments[DeploymentID],Deployments[Prod])-Commits[[#This Row],[DateCommit]]</f>
        <v>0</v>
      </c>
    </row>
    <row r="31" customFormat="false" ht="15" hidden="false" customHeight="false" outlineLevel="0" collapsed="false">
      <c r="A31" s="4" t="n">
        <v>63139</v>
      </c>
      <c r="B31" s="5" t="n">
        <v>45961</v>
      </c>
      <c r="C31" s="4" t="n">
        <v>30</v>
      </c>
      <c r="D31" s="11" t="n">
        <f aca="false">_xlfn.XLOOKUP(Commits[[#This Row],[DeploymentID]],Deployments[DeploymentID],Deployments[Prod])-Commits[[#This Row],[DateCommit]]</f>
        <v>0</v>
      </c>
    </row>
    <row r="32" customFormat="false" ht="15" hidden="false" customHeight="false" outlineLevel="0" collapsed="false">
      <c r="A32" s="4" t="n">
        <v>63136</v>
      </c>
      <c r="B32" s="5" t="n">
        <v>45961</v>
      </c>
      <c r="C32" s="4" t="n">
        <v>31</v>
      </c>
      <c r="D32" s="11" t="n">
        <f aca="false">_xlfn.XLOOKUP(Commits[[#This Row],[DeploymentID]],Deployments[DeploymentID],Deployments[Prod])-Commits[[#This Row],[DateCommit]]</f>
        <v>0</v>
      </c>
    </row>
    <row r="33" customFormat="false" ht="15" hidden="false" customHeight="false" outlineLevel="0" collapsed="false">
      <c r="A33" s="4" t="n">
        <v>63137</v>
      </c>
      <c r="B33" s="5" t="n">
        <v>45961</v>
      </c>
      <c r="C33" s="4" t="n">
        <v>32</v>
      </c>
      <c r="D33" s="11" t="n">
        <f aca="false">_xlfn.XLOOKUP(Commits[[#This Row],[DeploymentID]],Deployments[DeploymentID],Deployments[Prod])-Commits[[#This Row],[DateCommit]]</f>
        <v>0</v>
      </c>
    </row>
    <row r="34" customFormat="false" ht="15" hidden="false" customHeight="false" outlineLevel="0" collapsed="false">
      <c r="A34" s="4" t="n">
        <v>63187</v>
      </c>
      <c r="B34" s="5" t="n">
        <v>45961</v>
      </c>
      <c r="C34" s="4" t="n">
        <v>33</v>
      </c>
      <c r="D34" s="11" t="n">
        <f aca="false">_xlfn.XLOOKUP(Commits[[#This Row],[DeploymentID]],Deployments[DeploymentID],Deployments[Prod])-Commits[[#This Row],[DateCommit]]</f>
        <v>3</v>
      </c>
    </row>
    <row r="35" customFormat="false" ht="15" hidden="false" customHeight="false" outlineLevel="0" collapsed="false">
      <c r="A35" s="4" t="n">
        <v>63801</v>
      </c>
      <c r="B35" s="5" t="n">
        <v>45966</v>
      </c>
      <c r="C35" s="4" t="n">
        <v>34</v>
      </c>
      <c r="D35" s="11" t="n">
        <f aca="false">_xlfn.XLOOKUP(Commits[[#This Row],[DeploymentID]],Deployments[DeploymentID],Deployments[Prod])-Commits[[#This Row],[DateCommit]]</f>
        <v>0</v>
      </c>
    </row>
    <row r="36" customFormat="false" ht="15" hidden="false" customHeight="false" outlineLevel="0" collapsed="false">
      <c r="A36" s="4" t="n">
        <v>63988</v>
      </c>
      <c r="B36" s="5" t="n">
        <v>45967</v>
      </c>
      <c r="C36" s="4" t="n">
        <v>35</v>
      </c>
      <c r="D36" s="11" t="n">
        <f aca="false">_xlfn.XLOOKUP(Commits[[#This Row],[DeploymentID]],Deployments[DeploymentID],Deployments[Prod])-Commits[[#This Row],[DateCommit]]</f>
        <v>0</v>
      </c>
    </row>
    <row r="37" customFormat="false" ht="15" hidden="false" customHeight="false" outlineLevel="0" collapsed="false">
      <c r="A37" s="4" t="n">
        <v>64101</v>
      </c>
      <c r="B37" s="5" t="n">
        <v>45968</v>
      </c>
      <c r="C37" s="4" t="n">
        <v>36</v>
      </c>
      <c r="D37" s="11" t="n">
        <f aca="false">_xlfn.XLOOKUP(Commits[[#This Row],[DeploymentID]],Deployments[DeploymentID],Deployments[Prod])-Commits[[#This Row],[DateCommit]]</f>
        <v>5</v>
      </c>
    </row>
    <row r="38" customFormat="false" ht="15" hidden="false" customHeight="false" outlineLevel="0" collapsed="false">
      <c r="A38" s="4" t="n">
        <v>71544</v>
      </c>
      <c r="B38" s="5" t="n">
        <v>45979</v>
      </c>
      <c r="C38" s="4" t="n">
        <v>51</v>
      </c>
      <c r="D38" s="11" t="n">
        <f aca="false">_xlfn.XLOOKUP(Commits[[#This Row],[DeploymentID]],Deployments[DeploymentID],Deployments[Prod])-Commits[[#This Row],[DateCommit]]</f>
        <v>69</v>
      </c>
    </row>
    <row r="39" customFormat="false" ht="15" hidden="false" customHeight="false" outlineLevel="0" collapsed="false">
      <c r="A39" s="4" t="n">
        <v>66531</v>
      </c>
      <c r="B39" s="5" t="n">
        <v>45987</v>
      </c>
      <c r="C39" s="4" t="n">
        <v>38</v>
      </c>
      <c r="D39" s="11" t="n">
        <f aca="false">_xlfn.XLOOKUP(Commits[[#This Row],[DeploymentID]],Deployments[DeploymentID],Deployments[Prod])-Commits[[#This Row],[DateCommit]]</f>
        <v>7</v>
      </c>
    </row>
    <row r="40" customFormat="false" ht="15" hidden="false" customHeight="false" outlineLevel="0" collapsed="false">
      <c r="A40" s="4" t="n">
        <v>67092</v>
      </c>
      <c r="B40" s="5" t="n">
        <v>45992</v>
      </c>
      <c r="C40" s="4" t="n">
        <v>39</v>
      </c>
      <c r="D40" s="11" t="n">
        <f aca="false">_xlfn.XLOOKUP(Commits[[#This Row],[DeploymentID]],Deployments[DeploymentID],Deployments[Prod])-Commits[[#This Row],[DateCommit]]</f>
        <v>3</v>
      </c>
    </row>
    <row r="41" customFormat="false" ht="15" hidden="false" customHeight="false" outlineLevel="0" collapsed="false">
      <c r="A41" s="4" t="n">
        <v>67043</v>
      </c>
      <c r="B41" s="5" t="n">
        <v>45994</v>
      </c>
      <c r="C41" s="4" t="n">
        <v>37</v>
      </c>
      <c r="D41" s="11" t="n">
        <f aca="false">_xlfn.XLOOKUP(Commits[[#This Row],[DeploymentID]],Deployments[DeploymentID],Deployments[Prod])-Commits[[#This Row],[DateCommit]]</f>
        <v>0</v>
      </c>
    </row>
    <row r="42" customFormat="false" ht="15" hidden="false" customHeight="false" outlineLevel="0" collapsed="false">
      <c r="A42" s="4" t="n">
        <v>67187</v>
      </c>
      <c r="B42" s="5" t="n">
        <v>45995</v>
      </c>
      <c r="C42" s="4" t="n">
        <v>41</v>
      </c>
      <c r="D42" s="11" t="n">
        <f aca="false">_xlfn.XLOOKUP(Commits[[#This Row],[DeploymentID]],Deployments[DeploymentID],Deployments[Prod])-Commits[[#This Row],[DateCommit]]</f>
        <v>1</v>
      </c>
    </row>
    <row r="43" customFormat="false" ht="15" hidden="false" customHeight="false" outlineLevel="0" collapsed="false">
      <c r="A43" s="4" t="n">
        <v>67175</v>
      </c>
      <c r="B43" s="5" t="n">
        <v>45995</v>
      </c>
      <c r="C43" s="4" t="n">
        <v>42</v>
      </c>
      <c r="D43" s="11" t="n">
        <f aca="false">_xlfn.XLOOKUP(Commits[[#This Row],[DeploymentID]],Deployments[DeploymentID],Deployments[Prod])-Commits[[#This Row],[DateCommit]]</f>
        <v>1</v>
      </c>
    </row>
    <row r="44" customFormat="false" ht="15" hidden="false" customHeight="false" outlineLevel="0" collapsed="false">
      <c r="A44" s="4" t="n">
        <v>67161</v>
      </c>
      <c r="B44" s="5" t="n">
        <v>45995</v>
      </c>
      <c r="C44" s="4" t="n">
        <v>40</v>
      </c>
      <c r="D44" s="11" t="n">
        <f aca="false">_xlfn.XLOOKUP(Commits[[#This Row],[DeploymentID]],Deployments[DeploymentID],Deployments[Prod])-Commits[[#This Row],[DateCommit]]</f>
        <v>0</v>
      </c>
    </row>
    <row r="45" customFormat="false" ht="15" hidden="false" customHeight="false" outlineLevel="0" collapsed="false">
      <c r="A45" s="4" t="n">
        <v>67182</v>
      </c>
      <c r="B45" s="5" t="n">
        <v>45995</v>
      </c>
      <c r="C45" s="4" t="n">
        <v>43</v>
      </c>
      <c r="D45" s="11" t="n">
        <f aca="false">_xlfn.XLOOKUP(Commits[[#This Row],[DeploymentID]],Deployments[DeploymentID],Deployments[Prod])-Commits[[#This Row],[DateCommit]]</f>
        <v>1</v>
      </c>
    </row>
    <row r="46" customFormat="false" ht="15" hidden="false" customHeight="false" outlineLevel="0" collapsed="false">
      <c r="A46" s="4" t="n">
        <v>70670</v>
      </c>
      <c r="B46" s="5" t="n">
        <v>46035</v>
      </c>
      <c r="C46" s="4" t="n">
        <v>44</v>
      </c>
      <c r="D46" s="11" t="n">
        <f aca="false">_xlfn.XLOOKUP(Commits[[#This Row],[DeploymentID]],Deployments[DeploymentID],Deployments[Prod])-Commits[[#This Row],[DateCommit]]</f>
        <v>2</v>
      </c>
    </row>
    <row r="47" customFormat="false" ht="15" hidden="false" customHeight="false" outlineLevel="0" collapsed="false">
      <c r="A47" s="4" t="n">
        <v>71517</v>
      </c>
      <c r="B47" s="5" t="n">
        <v>46037</v>
      </c>
      <c r="C47" s="4" t="n">
        <v>48</v>
      </c>
      <c r="D47" s="11" t="n">
        <f aca="false">_xlfn.XLOOKUP(Commits[[#This Row],[DeploymentID]],Deployments[DeploymentID],Deployments[Prod])-Commits[[#This Row],[DateCommit]]</f>
        <v>7</v>
      </c>
    </row>
    <row r="48" customFormat="false" ht="15" hidden="false" customHeight="false" outlineLevel="0" collapsed="false">
      <c r="A48" s="4" t="n">
        <v>71145</v>
      </c>
      <c r="B48" s="5" t="n">
        <v>46037</v>
      </c>
      <c r="C48" s="4" t="n">
        <v>47</v>
      </c>
      <c r="D48" s="11" t="n">
        <f aca="false">_xlfn.XLOOKUP(Commits[[#This Row],[DeploymentID]],Deployments[DeploymentID],Deployments[Prod])-Commits[[#This Row],[DateCommit]]</f>
        <v>5</v>
      </c>
    </row>
    <row r="49" customFormat="false" ht="15" hidden="false" customHeight="false" outlineLevel="0" collapsed="false">
      <c r="A49" s="4" t="n">
        <v>70783</v>
      </c>
      <c r="B49" s="5" t="n">
        <v>46037</v>
      </c>
      <c r="C49" s="4" t="n">
        <v>45</v>
      </c>
      <c r="D49" s="11" t="n">
        <f aca="false">_xlfn.XLOOKUP(Commits[[#This Row],[DeploymentID]],Deployments[DeploymentID],Deployments[Prod])-Commits[[#This Row],[DateCommit]]</f>
        <v>0</v>
      </c>
    </row>
    <row r="50" customFormat="false" ht="15" hidden="false" customHeight="false" outlineLevel="0" collapsed="false">
      <c r="A50" s="4" t="n">
        <v>70772</v>
      </c>
      <c r="B50" s="5" t="n">
        <v>46037</v>
      </c>
      <c r="C50" s="4" t="n">
        <v>46</v>
      </c>
      <c r="D50" s="11" t="n">
        <f aca="false">_xlfn.XLOOKUP(Commits[[#This Row],[DeploymentID]],Deployments[DeploymentID],Deployments[Prod])-Commits[[#This Row],[DateCommit]]</f>
        <v>0</v>
      </c>
    </row>
    <row r="51" customFormat="false" ht="15" hidden="false" customHeight="false" outlineLevel="0" collapsed="false">
      <c r="A51" s="4" t="n">
        <v>71542</v>
      </c>
      <c r="B51" s="5" t="n">
        <v>46042</v>
      </c>
      <c r="C51" s="4" t="n">
        <v>49</v>
      </c>
      <c r="D51" s="11" t="n">
        <f aca="false">_xlfn.XLOOKUP(Commits[[#This Row],[DeploymentID]],Deployments[DeploymentID],Deployments[Prod])-Commits[[#This Row],[DateCommit]]</f>
        <v>3</v>
      </c>
    </row>
    <row r="52" customFormat="false" ht="15" hidden="false" customHeight="false" outlineLevel="0" collapsed="false">
      <c r="A52" s="4" t="n">
        <v>71693</v>
      </c>
      <c r="B52" s="5" t="n">
        <v>46045</v>
      </c>
      <c r="C52" s="4" t="n">
        <v>50</v>
      </c>
      <c r="D52" s="11" t="n">
        <f aca="false">_xlfn.XLOOKUP(Commits[[#This Row],[DeploymentID]],Deployments[DeploymentID],Deployments[Prod])-Commits[[#This Row],[DateCommit]]</f>
        <v>3</v>
      </c>
    </row>
    <row r="53" customFormat="false" ht="15" hidden="false" customHeight="false" outlineLevel="0" collapsed="false">
      <c r="A53" s="4" t="n">
        <v>73955</v>
      </c>
      <c r="B53" s="5" t="n">
        <v>46055</v>
      </c>
      <c r="C53" s="4" t="n">
        <v>58</v>
      </c>
      <c r="D53" s="11" t="n">
        <f aca="false">_xlfn.XLOOKUP(Commits[[#This Row],[DeploymentID]],Deployments[DeploymentID],Deployments[Prod])-Commits[[#This Row],[DateCommit]]</f>
        <v>14</v>
      </c>
    </row>
    <row r="54" customFormat="false" ht="15" hidden="false" customHeight="false" outlineLevel="0" collapsed="false">
      <c r="A54" s="4" t="n">
        <v>67096</v>
      </c>
      <c r="B54" s="5" t="n">
        <v>46058</v>
      </c>
      <c r="C54" s="4" t="n">
        <v>52</v>
      </c>
      <c r="D54" s="11" t="n">
        <f aca="false">_xlfn.XLOOKUP(Commits[[#This Row],[DeploymentID]],Deployments[DeploymentID],Deployments[Prod])-Commits[[#This Row],[DateCommit]]</f>
        <v>6</v>
      </c>
    </row>
    <row r="55" customFormat="false" ht="15" hidden="false" customHeight="false" outlineLevel="0" collapsed="false">
      <c r="A55" s="4" t="n">
        <v>73715</v>
      </c>
      <c r="B55" s="5" t="n">
        <v>46064</v>
      </c>
      <c r="C55" s="4" t="n">
        <v>53</v>
      </c>
      <c r="D55" s="11" t="n">
        <f aca="false">_xlfn.XLOOKUP(Commits[[#This Row],[DeploymentID]],Deployments[DeploymentID],Deployments[Prod])-Commits[[#This Row],[DateCommit]]</f>
        <v>0</v>
      </c>
    </row>
    <row r="56" customFormat="false" ht="15" hidden="false" customHeight="false" outlineLevel="0" collapsed="false">
      <c r="A56" s="4" t="n">
        <v>73737</v>
      </c>
      <c r="B56" s="5" t="n">
        <v>46064</v>
      </c>
      <c r="C56" s="4" t="n">
        <v>54</v>
      </c>
      <c r="D56" s="11" t="n">
        <f aca="false">_xlfn.XLOOKUP(Commits[[#This Row],[DeploymentID]],Deployments[DeploymentID],Deployments[Prod])-Commits[[#This Row],[DateCommit]]</f>
        <v>0</v>
      </c>
    </row>
    <row r="57" customFormat="false" ht="15" hidden="false" customHeight="false" outlineLevel="0" collapsed="false">
      <c r="A57" s="4" t="n">
        <v>73907</v>
      </c>
      <c r="B57" s="5" t="n">
        <v>46065</v>
      </c>
      <c r="C57" s="4" t="n">
        <v>55</v>
      </c>
      <c r="D57" s="11" t="n">
        <f aca="false">_xlfn.XLOOKUP(Commits[[#This Row],[DeploymentID]],Deployments[DeploymentID],Deployments[Prod])-Commits[[#This Row],[DateCommit]]</f>
        <v>0</v>
      </c>
    </row>
    <row r="58" customFormat="false" ht="15" hidden="false" customHeight="false" outlineLevel="0" collapsed="false">
      <c r="A58" s="4" t="n">
        <v>73919</v>
      </c>
      <c r="B58" s="5" t="n">
        <v>46065</v>
      </c>
      <c r="C58" s="4" t="n">
        <v>56</v>
      </c>
      <c r="D58" s="11" t="n">
        <f aca="false">_xlfn.XLOOKUP(Commits[[#This Row],[DeploymentID]],Deployments[DeploymentID],Deployments[Prod])-Commits[[#This Row],[DateCommit]]</f>
        <v>0</v>
      </c>
    </row>
    <row r="59" customFormat="false" ht="15" hidden="false" customHeight="false" outlineLevel="0" collapsed="false">
      <c r="A59" s="4" t="n">
        <v>73949</v>
      </c>
      <c r="B59" s="5" t="n">
        <v>46065</v>
      </c>
      <c r="C59" s="4" t="n">
        <v>57</v>
      </c>
      <c r="D59" s="11" t="n">
        <f aca="false">_xlfn.XLOOKUP(Commits[[#This Row],[DeploymentID]],Deployments[DeploymentID],Deployments[Prod])-Commits[[#This Row],[DateCommit]]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12" width="14.43"/>
    <col collapsed="false" customWidth="true" hidden="false" outlineLevel="0" max="3" min="3" style="0" width="18"/>
    <col collapsed="false" customWidth="true" hidden="false" outlineLevel="0" max="4" min="4" style="13" width="18"/>
    <col collapsed="false" customWidth="true" hidden="false" outlineLevel="0" max="5" min="5" style="14" width="18"/>
  </cols>
  <sheetData>
    <row r="1" customFormat="false" ht="15" hidden="false" customHeight="false" outlineLevel="0" collapsed="false">
      <c r="A1" s="2" t="s">
        <v>7</v>
      </c>
      <c r="B1" s="15" t="s">
        <v>8</v>
      </c>
      <c r="C1" s="2" t="s">
        <v>9</v>
      </c>
      <c r="D1" s="16" t="s">
        <v>6</v>
      </c>
      <c r="E1" s="17" t="s">
        <v>10</v>
      </c>
    </row>
    <row r="2" customFormat="false" ht="15" hidden="false" customHeight="false" outlineLevel="0" collapsed="false">
      <c r="A2" s="4" t="n">
        <v>1</v>
      </c>
      <c r="B2" s="5" t="n">
        <v>46042</v>
      </c>
      <c r="C2" s="4" t="n">
        <v>47</v>
      </c>
      <c r="D2" s="13" t="n">
        <f aca="false">_xlfn.XLOOKUP(Issues[[#This Row],[Fixed-ReleaseID]],Deployments[DeploymentID],Deployments[Prod])-Issues[[#This Row],[Report Date]]</f>
        <v>0</v>
      </c>
      <c r="E2" s="14" t="n">
        <f aca="false">_xlfn.XLOOKUP(Issues[[#This Row],[Fixed-ReleaseID]],Deployments[DeploymentID],Deployments[Prod])</f>
        <v>46042</v>
      </c>
    </row>
    <row r="3" customFormat="false" ht="15" hidden="false" customHeight="false" outlineLevel="0" collapsed="false">
      <c r="A3" s="4" t="n">
        <v>6</v>
      </c>
      <c r="B3" s="5" t="n">
        <v>46044</v>
      </c>
      <c r="C3" s="4" t="n">
        <v>49</v>
      </c>
      <c r="D3" s="13" t="n">
        <f aca="false">_xlfn.XLOOKUP(Issues[[#This Row],[Fixed-ReleaseID]],Deployments[DeploymentID],Deployments[Prod])-Issues[[#This Row],[Report Date]]</f>
        <v>1</v>
      </c>
      <c r="E3" s="14" t="n">
        <f aca="false">_xlfn.XLOOKUP(Issues[[#This Row],[Fixed-ReleaseID]],Deployments[DeploymentID],Deployments[Prod])</f>
        <v>46045</v>
      </c>
    </row>
    <row r="4" customFormat="false" ht="15" hidden="false" customHeight="false" outlineLevel="0" collapsed="false">
      <c r="A4" s="4" t="n">
        <v>7</v>
      </c>
      <c r="B4" s="5" t="n">
        <v>46048</v>
      </c>
      <c r="C4" s="4" t="n">
        <v>50</v>
      </c>
      <c r="D4" s="13" t="n">
        <f aca="false">_xlfn.XLOOKUP(Issues[[#This Row],[Fixed-ReleaseID]],Deployments[DeploymentID],Deployments[Prod])-Issues[[#This Row],[Report Date]]</f>
        <v>0</v>
      </c>
      <c r="E4" s="14" t="n">
        <f aca="false">_xlfn.XLOOKUP(Issues[[#This Row],[Fixed-ReleaseID]],Deployments[DeploymentID],Deployments[Prod])</f>
        <v>46048</v>
      </c>
    </row>
    <row r="5" customFormat="false" ht="15" hidden="false" customHeight="false" outlineLevel="0" collapsed="false">
      <c r="A5" s="4" t="n">
        <v>8</v>
      </c>
      <c r="B5" s="5" t="n">
        <v>46048</v>
      </c>
      <c r="C5" s="4" t="n">
        <v>50</v>
      </c>
      <c r="D5" s="13" t="n">
        <f aca="false">_xlfn.XLOOKUP(Issues[[#This Row],[Fixed-ReleaseID]],Deployments[DeploymentID],Deployments[Prod])-Issues[[#This Row],[Report Date]]</f>
        <v>0</v>
      </c>
      <c r="E5" s="14" t="n">
        <f aca="false">_xlfn.XLOOKUP(Issues[[#This Row],[Fixed-ReleaseID]],Deployments[DeploymentID],Deployments[Prod])</f>
        <v>46048</v>
      </c>
    </row>
    <row r="6" customFormat="false" ht="15" hidden="false" customHeight="false" outlineLevel="0" collapsed="false">
      <c r="A6" s="4" t="n">
        <v>31</v>
      </c>
      <c r="B6" s="5" t="n">
        <v>46062</v>
      </c>
      <c r="C6" s="4" t="n">
        <v>58</v>
      </c>
      <c r="D6" s="13" t="n">
        <f aca="false">_xlfn.XLOOKUP(Issues[[#This Row],[Fixed-ReleaseID]],Deployments[DeploymentID],Deployments[Prod])-Issues[[#This Row],[Report Date]]</f>
        <v>7</v>
      </c>
      <c r="E6" s="14" t="n">
        <f aca="false">_xlfn.XLOOKUP(Issues[[#This Row],[Fixed-ReleaseID]],Deployments[DeploymentID],Deployments[Prod])</f>
        <v>46069</v>
      </c>
    </row>
    <row r="7" customFormat="false" ht="15" hidden="false" customHeight="false" outlineLevel="0" collapsed="false">
      <c r="A7" s="4" t="n">
        <v>36</v>
      </c>
      <c r="B7" s="5" t="n">
        <v>46064</v>
      </c>
      <c r="C7" s="4" t="n">
        <v>52</v>
      </c>
      <c r="D7" s="13" t="n">
        <f aca="false">_xlfn.XLOOKUP(Issues[[#This Row],[Fixed-ReleaseID]],Deployments[DeploymentID],Deployments[Prod])-Issues[[#This Row],[Report Date]]</f>
        <v>0</v>
      </c>
      <c r="E7" s="14" t="n">
        <f aca="false">_xlfn.XLOOKUP(Issues[[#This Row],[Fixed-ReleaseID]],Deployments[DeploymentID],Deployments[Prod])</f>
        <v>46064</v>
      </c>
    </row>
    <row r="8" customFormat="false" ht="15" hidden="false" customHeight="false" outlineLevel="0" collapsed="false">
      <c r="A8" s="4" t="n">
        <v>37</v>
      </c>
      <c r="B8" s="5" t="n">
        <v>46064</v>
      </c>
      <c r="C8" s="4" t="n">
        <v>52</v>
      </c>
      <c r="D8" s="13" t="n">
        <f aca="false">_xlfn.XLOOKUP(Issues[[#This Row],[Fixed-ReleaseID]],Deployments[DeploymentID],Deployments[Prod])-Issues[[#This Row],[Report Date]]</f>
        <v>0</v>
      </c>
      <c r="E8" s="14" t="n">
        <f aca="false">_xlfn.XLOOKUP(Issues[[#This Row],[Fixed-ReleaseID]],Deployments[DeploymentID],Deployments[Prod])</f>
        <v>46064</v>
      </c>
    </row>
    <row r="9" customFormat="false" ht="15" hidden="false" customHeight="false" outlineLevel="0" collapsed="false">
      <c r="A9" s="4" t="n">
        <v>38</v>
      </c>
      <c r="B9" s="5" t="n">
        <v>46064</v>
      </c>
      <c r="C9" s="4" t="n">
        <v>52</v>
      </c>
      <c r="D9" s="13" t="n">
        <f aca="false">_xlfn.XLOOKUP(Issues[[#This Row],[Fixed-ReleaseID]],Deployments[DeploymentID],Deployments[Prod])-Issues[[#This Row],[Report Date]]</f>
        <v>0</v>
      </c>
      <c r="E9" s="14" t="n">
        <f aca="false">_xlfn.XLOOKUP(Issues[[#This Row],[Fixed-ReleaseID]],Deployments[DeploymentID],Deployments[Prod])</f>
        <v>46064</v>
      </c>
    </row>
    <row r="10" customFormat="false" ht="15" hidden="false" customHeight="false" outlineLevel="0" collapsed="false">
      <c r="A10" s="4" t="n">
        <v>39</v>
      </c>
      <c r="B10" s="5" t="n">
        <v>46064</v>
      </c>
      <c r="C10" s="4" t="n">
        <v>52</v>
      </c>
      <c r="D10" s="13" t="n">
        <f aca="false">_xlfn.XLOOKUP(Issues[[#This Row],[Fixed-ReleaseID]],Deployments[DeploymentID],Deployments[Prod])-Issues[[#This Row],[Report Date]]</f>
        <v>0</v>
      </c>
      <c r="E10" s="14" t="n">
        <f aca="false">_xlfn.XLOOKUP(Issues[[#This Row],[Fixed-ReleaseID]],Deployments[DeploymentID],Deployments[Prod])</f>
        <v>46064</v>
      </c>
    </row>
    <row r="11" customFormat="false" ht="15" hidden="false" customHeight="false" outlineLevel="0" collapsed="false">
      <c r="A11" s="4" t="n">
        <v>40</v>
      </c>
      <c r="B11" s="5" t="n">
        <v>46065</v>
      </c>
      <c r="C11" s="4" t="n">
        <v>55</v>
      </c>
      <c r="D11" s="13" t="n">
        <f aca="false">_xlfn.XLOOKUP(Issues[[#This Row],[Fixed-ReleaseID]],Deployments[DeploymentID],Deployments[Prod])-Issues[[#This Row],[Report Date]]</f>
        <v>0</v>
      </c>
      <c r="E11" s="14" t="n">
        <f aca="false">_xlfn.XLOOKUP(Issues[[#This Row],[Fixed-ReleaseID]],Deployments[DeploymentID],Deployments[Prod])</f>
        <v>46065</v>
      </c>
    </row>
    <row r="12" customFormat="false" ht="15" hidden="false" customHeight="false" outlineLevel="0" collapsed="false">
      <c r="A12" s="4" t="n">
        <v>41</v>
      </c>
      <c r="B12" s="5" t="n">
        <v>46065</v>
      </c>
      <c r="C12" s="4" t="n">
        <v>55</v>
      </c>
      <c r="D12" s="13" t="n">
        <f aca="false">_xlfn.XLOOKUP(Issues[[#This Row],[Fixed-ReleaseID]],Deployments[DeploymentID],Deployments[Prod])-Issues[[#This Row],[Report Date]]</f>
        <v>0</v>
      </c>
      <c r="E12" s="14" t="n">
        <f aca="false">_xlfn.XLOOKUP(Issues[[#This Row],[Fixed-ReleaseID]],Deployments[DeploymentID],Deployments[Prod])</f>
        <v>46065</v>
      </c>
    </row>
    <row r="13" customFormat="false" ht="15" hidden="false" customHeight="false" outlineLevel="0" collapsed="false">
      <c r="A13" s="4" t="n">
        <v>42</v>
      </c>
      <c r="B13" s="5" t="n">
        <v>46065</v>
      </c>
      <c r="C13" s="4" t="n">
        <v>55</v>
      </c>
      <c r="D13" s="13" t="n">
        <f aca="false">_xlfn.XLOOKUP(Issues[[#This Row],[Fixed-ReleaseID]],Deployments[DeploymentID],Deployments[Prod])-Issues[[#This Row],[Report Date]]</f>
        <v>0</v>
      </c>
      <c r="E13" s="14" t="n">
        <f aca="false">_xlfn.XLOOKUP(Issues[[#This Row],[Fixed-ReleaseID]],Deployments[DeploymentID],Deployments[Prod])</f>
        <v>46065</v>
      </c>
    </row>
    <row r="14" customFormat="false" ht="15" hidden="false" customHeight="false" outlineLevel="0" collapsed="false">
      <c r="A14" s="4" t="n">
        <v>43</v>
      </c>
      <c r="B14" s="5" t="n">
        <v>46065</v>
      </c>
      <c r="C14" s="4" t="n">
        <v>55</v>
      </c>
      <c r="D14" s="13" t="n">
        <f aca="false">_xlfn.XLOOKUP(Issues[[#This Row],[Fixed-ReleaseID]],Deployments[DeploymentID],Deployments[Prod])-Issues[[#This Row],[Report Date]]</f>
        <v>0</v>
      </c>
      <c r="E14" s="14" t="n">
        <f aca="false">_xlfn.XLOOKUP(Issues[[#This Row],[Fixed-ReleaseID]],Deployments[DeploymentID],Deployments[Prod])</f>
        <v>46065</v>
      </c>
    </row>
    <row r="15" customFormat="false" ht="15" hidden="false" customHeight="false" outlineLevel="0" collapsed="false">
      <c r="A15" s="4" t="n">
        <v>44</v>
      </c>
      <c r="B15" s="5" t="n">
        <v>46069</v>
      </c>
      <c r="C15" s="4" t="n">
        <v>58</v>
      </c>
      <c r="D15" s="13" t="n">
        <f aca="false">_xlfn.XLOOKUP(Issues[[#This Row],[Fixed-ReleaseID]],Deployments[DeploymentID],Deployments[Prod])-Issues[[#This Row],[Report Date]]</f>
        <v>0</v>
      </c>
      <c r="E15" s="14" t="n">
        <f aca="false">_xlfn.XLOOKUP(Issues[[#This Row],[Fixed-ReleaseID]],Deployments[DeploymentID],Deployments[Prod])</f>
        <v>46069</v>
      </c>
    </row>
    <row r="16" customFormat="false" ht="15" hidden="false" customHeight="false" outlineLevel="0" collapsed="false">
      <c r="A16" s="4" t="n">
        <v>45</v>
      </c>
      <c r="B16" s="5" t="n">
        <v>46069</v>
      </c>
      <c r="C16" s="4" t="n">
        <v>58</v>
      </c>
      <c r="D16" s="13" t="n">
        <f aca="false">_xlfn.XLOOKUP(Issues[[#This Row],[Fixed-ReleaseID]],Deployments[DeploymentID],Deployments[Prod])-Issues[[#This Row],[Report Date]]</f>
        <v>0</v>
      </c>
      <c r="E16" s="14" t="n">
        <f aca="false">_xlfn.XLOOKUP(Issues[[#This Row],[Fixed-ReleaseID]],Deployments[DeploymentID],Deployments[Prod])</f>
        <v>46069</v>
      </c>
    </row>
    <row r="17" customFormat="false" ht="15" hidden="false" customHeight="false" outlineLevel="0" collapsed="false">
      <c r="A17" s="4" t="n">
        <v>46</v>
      </c>
      <c r="B17" s="5" t="n">
        <v>46069</v>
      </c>
      <c r="C17" s="4" t="n">
        <v>58</v>
      </c>
      <c r="D17" s="13" t="n">
        <f aca="false">_xlfn.XLOOKUP(Issues[[#This Row],[Fixed-ReleaseID]],Deployments[DeploymentID],Deployments[Prod])-Issues[[#This Row],[Report Date]]</f>
        <v>0</v>
      </c>
      <c r="E17" s="14" t="n">
        <f aca="false">_xlfn.XLOOKUP(Issues[[#This Row],[Fixed-ReleaseID]],Deployments[DeploymentID],Deployments[Prod])</f>
        <v>46069</v>
      </c>
    </row>
    <row r="18" customFormat="false" ht="15" hidden="false" customHeight="false" outlineLevel="0" collapsed="false">
      <c r="A18" s="4" t="n">
        <v>47</v>
      </c>
      <c r="B18" s="5" t="n">
        <v>46069</v>
      </c>
      <c r="C18" s="4" t="n">
        <v>58</v>
      </c>
      <c r="D18" s="13" t="n">
        <f aca="false">_xlfn.XLOOKUP(Issues[[#This Row],[Fixed-ReleaseID]],Deployments[DeploymentID],Deployments[Prod])-Issues[[#This Row],[Report Date]]</f>
        <v>0</v>
      </c>
      <c r="E18" s="14" t="n">
        <f aca="false">_xlfn.XLOOKUP(Issues[[#This Row],[Fixed-ReleaseID]],Deployments[DeploymentID],Deployments[Prod])</f>
        <v>46069</v>
      </c>
    </row>
    <row r="19" customFormat="false" ht="15" hidden="false" customHeight="false" outlineLevel="0" collapsed="false">
      <c r="A19" s="4" t="n">
        <v>48</v>
      </c>
      <c r="B19" s="5" t="n">
        <v>46069</v>
      </c>
      <c r="C19" s="4" t="n">
        <v>58</v>
      </c>
      <c r="D19" s="13" t="n">
        <f aca="false">_xlfn.XLOOKUP(Issues[[#This Row],[Fixed-ReleaseID]],Deployments[DeploymentID],Deployments[Prod])-Issues[[#This Row],[Report Date]]</f>
        <v>0</v>
      </c>
      <c r="E19" s="14" t="n">
        <f aca="false">_xlfn.XLOOKUP(Issues[[#This Row],[Fixed-ReleaseID]],Deployments[DeploymentID],Deployments[Prod])</f>
        <v>46069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2" activeCellId="0" sqref="J3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3" style="0" width="9.29"/>
    <col collapsed="false" customWidth="true" hidden="false" outlineLevel="0" max="4" min="4" style="0" width="27.7"/>
    <col collapsed="false" customWidth="true" hidden="false" outlineLevel="0" max="5" min="5" style="0" width="13.86"/>
    <col collapsed="false" customWidth="true" hidden="false" outlineLevel="0" max="6" min="6" style="0" width="9.29"/>
    <col collapsed="false" customWidth="true" hidden="false" outlineLevel="0" max="7" min="7" style="0" width="10.43"/>
    <col collapsed="false" customWidth="true" hidden="false" outlineLevel="0" max="9" min="8" style="0" width="9.29"/>
    <col collapsed="false" customWidth="true" hidden="false" outlineLevel="0" max="10" min="10" style="0" width="11.86"/>
    <col collapsed="false" customWidth="true" hidden="false" outlineLevel="0" max="13" min="11" style="0" width="11.57"/>
  </cols>
  <sheetData>
    <row r="1" s="19" customFormat="true" ht="15" hidden="false" customHeight="false" outlineLevel="0" collapsed="false">
      <c r="A1" s="18"/>
      <c r="B1" s="18"/>
      <c r="C1" s="18"/>
      <c r="D1" s="19" t="n">
        <v>45597</v>
      </c>
      <c r="E1" s="19" t="n">
        <v>45627</v>
      </c>
      <c r="F1" s="19" t="n">
        <v>45658</v>
      </c>
      <c r="G1" s="19" t="n">
        <v>45689</v>
      </c>
      <c r="H1" s="19" t="n">
        <v>45717</v>
      </c>
      <c r="I1" s="19" t="n">
        <v>45748</v>
      </c>
      <c r="J1" s="19" t="n">
        <v>45778</v>
      </c>
      <c r="K1" s="19" t="n">
        <v>45809</v>
      </c>
      <c r="L1" s="19" t="n">
        <v>45839</v>
      </c>
      <c r="M1" s="19" t="n">
        <v>45870</v>
      </c>
      <c r="N1" s="19" t="n">
        <v>45901</v>
      </c>
      <c r="O1" s="19" t="n">
        <v>45931</v>
      </c>
      <c r="P1" s="19" t="n">
        <v>45962</v>
      </c>
      <c r="Q1" s="19" t="n">
        <v>45992</v>
      </c>
      <c r="R1" s="19" t="n">
        <v>46023</v>
      </c>
      <c r="S1" s="19" t="n">
        <v>46054</v>
      </c>
      <c r="T1" s="19" t="n">
        <v>46082</v>
      </c>
      <c r="U1" s="19" t="n">
        <v>46113</v>
      </c>
      <c r="V1" s="19" t="n">
        <v>46143</v>
      </c>
      <c r="W1" s="19" t="n">
        <v>46174</v>
      </c>
      <c r="X1" s="19" t="n">
        <v>46204</v>
      </c>
      <c r="Y1" s="19" t="n">
        <v>46235</v>
      </c>
      <c r="Z1" s="19" t="n">
        <v>46266</v>
      </c>
      <c r="AA1" s="19" t="n">
        <v>46296</v>
      </c>
      <c r="AB1" s="19" t="n">
        <v>46327</v>
      </c>
      <c r="AC1" s="19" t="n">
        <v>46357</v>
      </c>
      <c r="AD1" s="19" t="n">
        <v>46388</v>
      </c>
      <c r="AE1" s="19" t="n">
        <v>46419</v>
      </c>
      <c r="AF1" s="19" t="n">
        <v>46447</v>
      </c>
    </row>
    <row r="2" s="20" customFormat="true" ht="15" hidden="false" customHeight="false" outlineLevel="0" collapsed="false">
      <c r="A2" s="13" t="s">
        <v>11</v>
      </c>
      <c r="B2" s="13"/>
      <c r="C2" s="13" t="n">
        <f aca="false">(MAX(Deployments[Acc])-MIN(Deployments[Acc]))/COUNTA(Deployments[Acc])</f>
        <v>2.98275862068966</v>
      </c>
      <c r="D2" s="20" t="s">
        <v>12</v>
      </c>
      <c r="E2" s="20" t="n">
        <f aca="false">COUNTIFS(Deployments[Acc],"&gt;="&amp;D$1,Deployments[Acc],"&lt;"&amp;E$1)</f>
        <v>0</v>
      </c>
      <c r="F2" s="20" t="n">
        <f aca="false">COUNTIFS(Deployments[Acc],"&gt;="&amp;E$1,Deployments[Acc],"&lt;"&amp;F$1)</f>
        <v>0</v>
      </c>
      <c r="G2" s="20" t="n">
        <f aca="false">COUNTIFS(Deployments[Acc],"&gt;="&amp;F$1,Deployments[Acc],"&lt;"&amp;G$1)</f>
        <v>0</v>
      </c>
      <c r="H2" s="20" t="n">
        <f aca="false">COUNTIFS(Deployments[Acc],"&gt;="&amp;G$1,Deployments[Acc],"&lt;"&amp;H$1)</f>
        <v>0</v>
      </c>
      <c r="I2" s="20" t="n">
        <f aca="false">COUNTIFS(Deployments[Acc],"&gt;="&amp;H$1,Deployments[Acc],"&lt;"&amp;I$1)</f>
        <v>0</v>
      </c>
      <c r="J2" s="20" t="n">
        <f aca="false">COUNTIFS(Deployments[Acc],"&gt;="&amp;I$1,Deployments[Acc],"&lt;"&amp;J$1)</f>
        <v>0</v>
      </c>
      <c r="K2" s="20" t="n">
        <f aca="false">COUNTIFS(Deployments[Acc],"&gt;="&amp;J$1,Deployments[Acc],"&lt;"&amp;K$1)</f>
        <v>0</v>
      </c>
      <c r="L2" s="20" t="n">
        <f aca="false">COUNTIFS(Deployments[Acc],"&gt;="&amp;K$1,Deployments[Acc],"&lt;"&amp;L$1)</f>
        <v>0</v>
      </c>
      <c r="M2" s="20" t="n">
        <f aca="false">COUNTIFS(Deployments[Acc],"&gt;="&amp;L$1,Deployments[Acc],"&lt;"&amp;M$1)</f>
        <v>0</v>
      </c>
      <c r="N2" s="20" t="n">
        <f aca="false">COUNTIFS(Deployments[Acc],"&gt;="&amp;M$1,Deployments[Acc],"&lt;"&amp;N$1)</f>
        <v>4</v>
      </c>
      <c r="O2" s="20" t="n">
        <f aca="false">COUNTIFS(Deployments[Acc],"&gt;="&amp;N$1,Deployments[Acc],"&lt;"&amp;O$1)</f>
        <v>10</v>
      </c>
      <c r="P2" s="20" t="n">
        <f aca="false">COUNTIFS(Deployments[Acc],"&gt;="&amp;O$1,Deployments[Acc],"&lt;"&amp;P$1)</f>
        <v>18</v>
      </c>
      <c r="Q2" s="20" t="n">
        <f aca="false">COUNTIFS(Deployments[Acc],"&gt;="&amp;P$1,Deployments[Acc],"&lt;"&amp;Q$1)</f>
        <v>4</v>
      </c>
      <c r="R2" s="20" t="n">
        <f aca="false">COUNTIFS(Deployments[Acc],"&gt;="&amp;Q$1,Deployments[Acc],"&lt;"&amp;R$1)</f>
        <v>7</v>
      </c>
      <c r="S2" s="20" t="n">
        <f aca="false">COUNTIFS(Deployments[Acc],"&gt;="&amp;R$1,Deployments[Acc],"&lt;"&amp;S$1)</f>
        <v>8</v>
      </c>
      <c r="T2" s="20" t="n">
        <f aca="false">COUNTIFS(Deployments[Acc],"&gt;="&amp;S$1,Deployments[Acc],"&lt;"&amp;T$1)</f>
        <v>7</v>
      </c>
      <c r="U2" s="20" t="n">
        <f aca="false">COUNTIFS(Deployments[Acc],"&gt;="&amp;T$1,Deployments[Acc],"&lt;"&amp;U$1)</f>
        <v>0</v>
      </c>
      <c r="V2" s="20" t="n">
        <f aca="false">COUNTIFS(Deployments[Acc],"&gt;="&amp;U$1,Deployments[Acc],"&lt;"&amp;V$1)</f>
        <v>0</v>
      </c>
      <c r="W2" s="20" t="n">
        <f aca="false">COUNTIFS(Deployments[Acc],"&gt;="&amp;V$1,Deployments[Acc],"&lt;"&amp;W$1)</f>
        <v>0</v>
      </c>
      <c r="X2" s="20" t="n">
        <f aca="false">COUNTIFS(Deployments[Acc],"&gt;="&amp;W$1,Deployments[Acc],"&lt;"&amp;X$1)</f>
        <v>0</v>
      </c>
      <c r="Y2" s="20" t="n">
        <f aca="false">COUNTIFS(Deployments[Acc],"&gt;="&amp;X$1,Deployments[Acc],"&lt;"&amp;Y$1)</f>
        <v>0</v>
      </c>
      <c r="Z2" s="20" t="n">
        <f aca="false">COUNTIFS(Deployments[Acc],"&gt;="&amp;Y$1,Deployments[Acc],"&lt;"&amp;Z$1)</f>
        <v>0</v>
      </c>
      <c r="AA2" s="20" t="n">
        <f aca="false">COUNTIFS(Deployments[Acc],"&gt;="&amp;Z$1,Deployments[Acc],"&lt;"&amp;AA$1)</f>
        <v>0</v>
      </c>
      <c r="AB2" s="20" t="n">
        <f aca="false">COUNTIFS(Deployments[Acc],"&gt;="&amp;AA$1,Deployments[Acc],"&lt;"&amp;AB$1)</f>
        <v>0</v>
      </c>
      <c r="AC2" s="20" t="n">
        <f aca="false">COUNTIFS(Deployments[Acc],"&gt;="&amp;AB$1,Deployments[Acc],"&lt;"&amp;AC$1)</f>
        <v>0</v>
      </c>
      <c r="AD2" s="20" t="n">
        <f aca="false">COUNTIFS(Deployments[Acc],"&gt;="&amp;AC$1,Deployments[Acc],"&lt;"&amp;AD$1)</f>
        <v>0</v>
      </c>
      <c r="AE2" s="20" t="n">
        <f aca="false">COUNTIFS(Deployments[Acc],"&gt;="&amp;AD$1,Deployments[Acc],"&lt;"&amp;AE$1)</f>
        <v>0</v>
      </c>
      <c r="AF2" s="20" t="n">
        <f aca="false">COUNTIFS(Deployments[Acc],"&gt;="&amp;AE$1,Deployments[Acc],"&lt;"&amp;AF$1)</f>
        <v>0</v>
      </c>
    </row>
    <row r="3" customFormat="false" ht="15" hidden="false" customHeight="false" outlineLevel="0" collapsed="false">
      <c r="A3" s="21" t="s">
        <v>13</v>
      </c>
      <c r="B3" s="21"/>
      <c r="C3" s="13" t="n">
        <f aca="false">(MAX(Deployments[Prod])-MIN(Deployments[Prod]))/COUNTA(Deployments[Prod])</f>
        <v>2.98275862068966</v>
      </c>
      <c r="D3" s="20" t="s">
        <v>12</v>
      </c>
      <c r="E3" s="0" t="n">
        <f aca="false">COUNTIFS(Deployments[Prod],"&gt;="&amp;D$1,Deployments[Prod],"&lt;"&amp;E$1)</f>
        <v>0</v>
      </c>
      <c r="F3" s="0" t="n">
        <f aca="false">COUNTIFS(Deployments[Prod],"&gt;="&amp;E$1,Deployments[Prod],"&lt;"&amp;F$1)</f>
        <v>0</v>
      </c>
      <c r="G3" s="0" t="n">
        <f aca="false">COUNTIFS(Deployments[Prod],"&gt;="&amp;F$1,Deployments[Prod],"&lt;"&amp;G$1)</f>
        <v>0</v>
      </c>
      <c r="H3" s="0" t="n">
        <f aca="false">COUNTIFS(Deployments[Prod],"&gt;="&amp;G$1,Deployments[Prod],"&lt;"&amp;H$1)</f>
        <v>0</v>
      </c>
      <c r="I3" s="0" t="n">
        <f aca="false">COUNTIFS(Deployments[Prod],"&gt;="&amp;H$1,Deployments[Prod],"&lt;"&amp;I$1)</f>
        <v>0</v>
      </c>
      <c r="J3" s="0" t="n">
        <f aca="false">COUNTIFS(Deployments[Prod],"&gt;="&amp;I$1,Deployments[Prod],"&lt;"&amp;J$1)</f>
        <v>0</v>
      </c>
      <c r="K3" s="0" t="n">
        <f aca="false">COUNTIFS(Deployments[Prod],"&gt;="&amp;J$1,Deployments[Prod],"&lt;"&amp;K$1)</f>
        <v>0</v>
      </c>
      <c r="L3" s="0" t="n">
        <f aca="false">COUNTIFS(Deployments[Prod],"&gt;="&amp;K$1,Deployments[Prod],"&lt;"&amp;L$1)</f>
        <v>0</v>
      </c>
      <c r="M3" s="0" t="n">
        <f aca="false">COUNTIFS(Deployments[Prod],"&gt;="&amp;L$1,Deployments[Prod],"&lt;"&amp;M$1)</f>
        <v>0</v>
      </c>
      <c r="N3" s="0" t="n">
        <f aca="false">COUNTIFS(Deployments[Prod],"&gt;="&amp;M$1,Deployments[Prod],"&lt;"&amp;N$1)</f>
        <v>4</v>
      </c>
      <c r="O3" s="0" t="n">
        <f aca="false">COUNTIFS(Deployments[Prod],"&gt;="&amp;N$1,Deployments[Prod],"&lt;"&amp;O$1)</f>
        <v>10</v>
      </c>
      <c r="P3" s="0" t="n">
        <f aca="false">COUNTIFS(Deployments[Prod],"&gt;="&amp;O$1,Deployments[Prod],"&lt;"&amp;P$1)</f>
        <v>18</v>
      </c>
      <c r="Q3" s="0" t="n">
        <f aca="false">COUNTIFS(Deployments[Prod],"&gt;="&amp;P$1,Deployments[Prod],"&lt;"&amp;Q$1)</f>
        <v>4</v>
      </c>
      <c r="R3" s="0" t="n">
        <f aca="false">COUNTIFS(Deployments[Prod],"&gt;="&amp;Q$1,Deployments[Prod],"&lt;"&amp;R$1)</f>
        <v>7</v>
      </c>
      <c r="S3" s="0" t="n">
        <f aca="false">COUNTIFS(Deployments[Prod],"&gt;="&amp;R$1,Deployments[Prod],"&lt;"&amp;S$1)</f>
        <v>8</v>
      </c>
      <c r="T3" s="0" t="n">
        <f aca="false">COUNTIFS(Deployments[Prod],"&gt;="&amp;S$1,Deployments[Prod],"&lt;"&amp;T$1)</f>
        <v>7</v>
      </c>
      <c r="U3" s="0" t="n">
        <f aca="false">COUNTIFS(Deployments[Prod],"&gt;="&amp;T$1,Deployments[Prod],"&lt;"&amp;U$1)</f>
        <v>0</v>
      </c>
      <c r="V3" s="0" t="n">
        <f aca="false">COUNTIFS(Deployments[Prod],"&gt;="&amp;U$1,Deployments[Prod],"&lt;"&amp;V$1)</f>
        <v>0</v>
      </c>
      <c r="W3" s="0" t="n">
        <f aca="false">COUNTIFS(Deployments[Prod],"&gt;="&amp;V$1,Deployments[Prod],"&lt;"&amp;W$1)</f>
        <v>0</v>
      </c>
      <c r="X3" s="0" t="n">
        <f aca="false">COUNTIFS(Deployments[Prod],"&gt;="&amp;W$1,Deployments[Prod],"&lt;"&amp;X$1)</f>
        <v>0</v>
      </c>
      <c r="Y3" s="0" t="n">
        <f aca="false">COUNTIFS(Deployments[Prod],"&gt;="&amp;X$1,Deployments[Prod],"&lt;"&amp;Y$1)</f>
        <v>0</v>
      </c>
      <c r="Z3" s="0" t="n">
        <f aca="false">COUNTIFS(Deployments[Prod],"&gt;="&amp;Y$1,Deployments[Prod],"&lt;"&amp;Z$1)</f>
        <v>0</v>
      </c>
      <c r="AA3" s="0" t="n">
        <f aca="false">COUNTIFS(Deployments[Prod],"&gt;="&amp;Z$1,Deployments[Prod],"&lt;"&amp;AA$1)</f>
        <v>0</v>
      </c>
      <c r="AB3" s="0" t="n">
        <f aca="false">COUNTIFS(Deployments[Prod],"&gt;="&amp;AA$1,Deployments[Prod],"&lt;"&amp;AB$1)</f>
        <v>0</v>
      </c>
      <c r="AC3" s="0" t="n">
        <f aca="false">COUNTIFS(Deployments[Prod],"&gt;="&amp;AB$1,Deployments[Prod],"&lt;"&amp;AC$1)</f>
        <v>0</v>
      </c>
      <c r="AD3" s="0" t="n">
        <f aca="false">COUNTIFS(Deployments[Prod],"&gt;="&amp;AC$1,Deployments[Prod],"&lt;"&amp;AD$1)</f>
        <v>0</v>
      </c>
      <c r="AE3" s="0" t="n">
        <f aca="false">COUNTIFS(Deployments[Prod],"&gt;="&amp;AD$1,Deployments[Prod],"&lt;"&amp;AE$1)</f>
        <v>0</v>
      </c>
      <c r="AF3" s="0" t="n">
        <f aca="false">COUNTIFS(Deployments[Prod],"&gt;="&amp;AE$1,Deployments[Prod],"&lt;"&amp;AF$1)</f>
        <v>0</v>
      </c>
    </row>
    <row r="4" s="22" customFormat="true" ht="15" hidden="false" customHeight="false" outlineLevel="0" collapsed="false">
      <c r="A4" s="21" t="s">
        <v>14</v>
      </c>
      <c r="B4" s="21"/>
      <c r="C4" s="21" t="n">
        <f aca="false">SUM(Deployments[failed?])/COUNT(Deployments[failed?])</f>
        <v>0.0689655172413793</v>
      </c>
      <c r="D4" s="22" t="s">
        <v>15</v>
      </c>
      <c r="E4" s="23" t="n">
        <f aca="false">IFERROR(SUMIFS(Deployments[failed?],Deployments[Prod],"&gt;="&amp;D$1,Deployments[Prod],"&lt;"&amp;E$1)/COUNTIFS(Deployments[Prod],"&gt;="&amp;D$1,Deployments[Prod],"&lt;"&amp;E$1),0)</f>
        <v>0</v>
      </c>
      <c r="F4" s="23" t="n">
        <f aca="false">IFERROR(SUMIFS(Deployments[failed?],Deployments[Prod],"&gt;="&amp;E$1,Deployments[Prod],"&lt;"&amp;F$1)/COUNTIFS(Deployments[Prod],"&gt;="&amp;E$1,Deployments[Prod],"&lt;"&amp;F$1),0)</f>
        <v>0</v>
      </c>
      <c r="G4" s="23" t="n">
        <f aca="false">IFERROR(SUMIFS(Deployments[failed?],Deployments[Prod],"&gt;="&amp;F$1,Deployments[Prod],"&lt;"&amp;G$1)/COUNTIFS(Deployments[Prod],"&gt;="&amp;F$1,Deployments[Prod],"&lt;"&amp;G$1),0)</f>
        <v>0</v>
      </c>
      <c r="H4" s="23" t="n">
        <f aca="false">IFERROR(SUMIFS(Deployments[failed?],Deployments[Prod],"&gt;="&amp;G$1,Deployments[Prod],"&lt;"&amp;H$1)/COUNTIFS(Deployments[Prod],"&gt;="&amp;G$1,Deployments[Prod],"&lt;"&amp;H$1),0)</f>
        <v>0</v>
      </c>
      <c r="I4" s="23" t="n">
        <f aca="false">IFERROR(SUMIFS(Deployments[failed?],Deployments[Prod],"&gt;="&amp;H$1,Deployments[Prod],"&lt;"&amp;I$1)/COUNTIFS(Deployments[Prod],"&gt;="&amp;H$1,Deployments[Prod],"&lt;"&amp;I$1),0)</f>
        <v>0</v>
      </c>
      <c r="J4" s="23" t="n">
        <f aca="false">IFERROR(SUMIFS(Deployments[failed?],Deployments[Prod],"&gt;="&amp;I$1,Deployments[Prod],"&lt;"&amp;J$1)/COUNTIFS(Deployments[Prod],"&gt;="&amp;I$1,Deployments[Prod],"&lt;"&amp;J$1),0)</f>
        <v>0</v>
      </c>
      <c r="K4" s="23" t="n">
        <f aca="false">IFERROR(SUMIFS(Deployments[failed?],Deployments[Prod],"&gt;="&amp;J$1,Deployments[Prod],"&lt;"&amp;K$1)/COUNTIFS(Deployments[Prod],"&gt;="&amp;J$1,Deployments[Prod],"&lt;"&amp;K$1),0)</f>
        <v>0</v>
      </c>
      <c r="L4" s="23" t="n">
        <f aca="false">IFERROR(SUMIFS(Deployments[failed?],Deployments[Prod],"&gt;="&amp;K$1,Deployments[Prod],"&lt;"&amp;L$1)/COUNTIFS(Deployments[Prod],"&gt;="&amp;K$1,Deployments[Prod],"&lt;"&amp;L$1),0)</f>
        <v>0</v>
      </c>
      <c r="M4" s="23" t="n">
        <f aca="false">IFERROR(SUMIFS(Deployments[failed?],Deployments[Prod],"&gt;="&amp;L$1,Deployments[Prod],"&lt;"&amp;M$1)/COUNTIFS(Deployments[Prod],"&gt;="&amp;L$1,Deployments[Prod],"&lt;"&amp;M$1),0)</f>
        <v>0</v>
      </c>
      <c r="N4" s="23" t="n">
        <f aca="false">IFERROR(SUMIFS(Deployments[failed?],Deployments[Prod],"&gt;="&amp;M$1,Deployments[Prod],"&lt;"&amp;N$1)/COUNTIFS(Deployments[Prod],"&gt;="&amp;M$1,Deployments[Prod],"&lt;"&amp;N$1),0)</f>
        <v>0</v>
      </c>
      <c r="O4" s="23" t="n">
        <f aca="false">IFERROR(SUMIFS(Deployments[failed?],Deployments[Prod],"&gt;="&amp;N$1,Deployments[Prod],"&lt;"&amp;O$1)/COUNTIFS(Deployments[Prod],"&gt;="&amp;N$1,Deployments[Prod],"&lt;"&amp;O$1),0)</f>
        <v>0.1</v>
      </c>
      <c r="P4" s="23" t="n">
        <f aca="false">IFERROR(SUMIFS(Deployments[failed?],Deployments[Prod],"&gt;="&amp;O$1,Deployments[Prod],"&lt;"&amp;P$1)/COUNTIFS(Deployments[Prod],"&gt;="&amp;O$1,Deployments[Prod],"&lt;"&amp;P$1),0)</f>
        <v>0.166666666666667</v>
      </c>
      <c r="Q4" s="23" t="n">
        <f aca="false">IFERROR(SUMIFS(Deployments[failed?],Deployments[Prod],"&gt;="&amp;P$1,Deployments[Prod],"&lt;"&amp;Q$1)/COUNTIFS(Deployments[Prod],"&gt;="&amp;P$1,Deployments[Prod],"&lt;"&amp;Q$1),0)</f>
        <v>0</v>
      </c>
      <c r="R4" s="23" t="n">
        <f aca="false">IFERROR(SUMIFS(Deployments[failed?],Deployments[Prod],"&gt;="&amp;Q$1,Deployments[Prod],"&lt;"&amp;R$1)/COUNTIFS(Deployments[Prod],"&gt;="&amp;Q$1,Deployments[Prod],"&lt;"&amp;R$1),0)</f>
        <v>0</v>
      </c>
      <c r="S4" s="23" t="n">
        <f aca="false">IFERROR(SUMIFS(Deployments[failed?],Deployments[Prod],"&gt;="&amp;R$1,Deployments[Prod],"&lt;"&amp;S$1)/COUNTIFS(Deployments[Prod],"&gt;="&amp;R$1,Deployments[Prod],"&lt;"&amp;S$1),0)</f>
        <v>0</v>
      </c>
      <c r="T4" s="23" t="n">
        <f aca="false">IFERROR(SUMIFS(Deployments[failed?],Deployments[Prod],"&gt;="&amp;S$1,Deployments[Prod],"&lt;"&amp;T$1)/COUNTIFS(Deployments[Prod],"&gt;="&amp;S$1,Deployments[Prod],"&lt;"&amp;T$1),0)</f>
        <v>0</v>
      </c>
      <c r="U4" s="23" t="n">
        <f aca="false">IFERROR(SUMIFS(Deployments[failed?],Deployments[Prod],"&gt;="&amp;T$1,Deployments[Prod],"&lt;"&amp;U$1)/COUNTIFS(Deployments[Prod],"&gt;="&amp;T$1,Deployments[Prod],"&lt;"&amp;U$1),0)</f>
        <v>0</v>
      </c>
      <c r="V4" s="23" t="n">
        <f aca="false">IFERROR(SUMIFS(Deployments[failed?],Deployments[Prod],"&gt;="&amp;U$1,Deployments[Prod],"&lt;"&amp;V$1)/COUNTIFS(Deployments[Prod],"&gt;="&amp;U$1,Deployments[Prod],"&lt;"&amp;V$1),0)</f>
        <v>0</v>
      </c>
      <c r="W4" s="23" t="n">
        <f aca="false">IFERROR(SUMIFS(Deployments[failed?],Deployments[Prod],"&gt;="&amp;V$1,Deployments[Prod],"&lt;"&amp;W$1)/COUNTIFS(Deployments[Prod],"&gt;="&amp;V$1,Deployments[Prod],"&lt;"&amp;W$1),0)</f>
        <v>0</v>
      </c>
      <c r="X4" s="23" t="n">
        <f aca="false">IFERROR(SUMIFS(Deployments[failed?],Deployments[Prod],"&gt;="&amp;W$1,Deployments[Prod],"&lt;"&amp;X$1)/COUNTIFS(Deployments[Prod],"&gt;="&amp;W$1,Deployments[Prod],"&lt;"&amp;X$1),0)</f>
        <v>0</v>
      </c>
      <c r="Y4" s="23" t="n">
        <f aca="false">IFERROR(SUMIFS(Deployments[failed?],Deployments[Prod],"&gt;="&amp;X$1,Deployments[Prod],"&lt;"&amp;Y$1)/COUNTIFS(Deployments[Prod],"&gt;="&amp;X$1,Deployments[Prod],"&lt;"&amp;Y$1),0)</f>
        <v>0</v>
      </c>
      <c r="Z4" s="23" t="n">
        <f aca="false">IFERROR(SUMIFS(Deployments[failed?],Deployments[Prod],"&gt;="&amp;Y$1,Deployments[Prod],"&lt;"&amp;Z$1)/COUNTIFS(Deployments[Prod],"&gt;="&amp;Y$1,Deployments[Prod],"&lt;"&amp;Z$1),0)</f>
        <v>0</v>
      </c>
      <c r="AA4" s="23" t="n">
        <f aca="false">IFERROR(SUMIFS(Deployments[failed?],Deployments[Prod],"&gt;="&amp;Z$1,Deployments[Prod],"&lt;"&amp;AA$1)/COUNTIFS(Deployments[Prod],"&gt;="&amp;Z$1,Deployments[Prod],"&lt;"&amp;AA$1),0)</f>
        <v>0</v>
      </c>
      <c r="AB4" s="23" t="n">
        <f aca="false">IFERROR(SUMIFS(Deployments[failed?],Deployments[Prod],"&gt;="&amp;AA$1,Deployments[Prod],"&lt;"&amp;AB$1)/COUNTIFS(Deployments[Prod],"&gt;="&amp;AA$1,Deployments[Prod],"&lt;"&amp;AB$1),0)</f>
        <v>0</v>
      </c>
      <c r="AC4" s="23" t="n">
        <f aca="false">IFERROR(SUMIFS(Deployments[failed?],Deployments[Prod],"&gt;="&amp;AB$1,Deployments[Prod],"&lt;"&amp;AC$1)/COUNTIFS(Deployments[Prod],"&gt;="&amp;AB$1,Deployments[Prod],"&lt;"&amp;AC$1),0)</f>
        <v>0</v>
      </c>
      <c r="AD4" s="23" t="n">
        <f aca="false">IFERROR(SUMIFS(Deployments[failed?],Deployments[Prod],"&gt;="&amp;AC$1,Deployments[Prod],"&lt;"&amp;AD$1)/COUNTIFS(Deployments[Prod],"&gt;="&amp;AC$1,Deployments[Prod],"&lt;"&amp;AD$1),0)</f>
        <v>0</v>
      </c>
      <c r="AE4" s="23" t="n">
        <f aca="false">IFERROR(SUMIFS(Deployments[failed?],Deployments[Prod],"&gt;="&amp;AD$1,Deployments[Prod],"&lt;"&amp;AE$1)/COUNTIFS(Deployments[Prod],"&gt;="&amp;AD$1,Deployments[Prod],"&lt;"&amp;AE$1),0)</f>
        <v>0</v>
      </c>
      <c r="AF4" s="23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0" customFormat="true" ht="15" hidden="false" customHeight="false" outlineLevel="0" collapsed="false">
      <c r="A5" s="13" t="s">
        <v>16</v>
      </c>
      <c r="B5" s="13"/>
      <c r="C5" s="13" t="n">
        <f aca="false">AVERAGE(Commits[DaysToRelease])</f>
        <v>5.43103448275862</v>
      </c>
      <c r="D5" s="20" t="s">
        <v>17</v>
      </c>
      <c r="E5" s="24" t="n">
        <f aca="false">IFERROR(AVERAGEIFS(Commits[DaysToRelease], Commits[DateCommit], "&gt;=" &amp; D$1, Commits[DateCommit], "&lt;" &amp; E$1), 0)</f>
        <v>0</v>
      </c>
      <c r="F5" s="24" t="n">
        <f aca="false">IFERROR(AVERAGEIFS(Commits[DaysToRelease], Commits[DateCommit], "&gt;=" &amp; E$1, Commits[DateCommit], "&lt;" &amp; F$1), 0)</f>
        <v>0</v>
      </c>
      <c r="G5" s="24" t="n">
        <f aca="false">IFERROR(AVERAGEIFS(Commits[DaysToRelease], Commits[DateCommit], "&gt;=" &amp; F$1, Commits[DateCommit], "&lt;" &amp; G$1), 0)</f>
        <v>0</v>
      </c>
      <c r="H5" s="24" t="n">
        <f aca="false">IFERROR(AVERAGEIFS(Commits[DaysToRelease], Commits[DateCommit], "&gt;=" &amp; G$1, Commits[DateCommit], "&lt;" &amp; H$1), 0)</f>
        <v>0</v>
      </c>
      <c r="I5" s="24" t="n">
        <f aca="false">IFERROR(AVERAGEIFS(Commits[DaysToRelease], Commits[DateCommit], "&gt;=" &amp; H$1, Commits[DateCommit], "&lt;" &amp; I$1), 0)</f>
        <v>0</v>
      </c>
      <c r="J5" s="24" t="n">
        <f aca="false">IFERROR(AVERAGEIFS(Commits[DaysToRelease], Commits[DateCommit], "&gt;=" &amp; I$1, Commits[DateCommit], "&lt;" &amp; J$1), 0)</f>
        <v>0</v>
      </c>
      <c r="K5" s="24" t="n">
        <f aca="false">IFERROR(AVERAGEIFS(Commits[DaysToRelease], Commits[DateCommit], "&gt;=" &amp; J$1, Commits[DateCommit], "&lt;" &amp; K$1), 0)</f>
        <v>0</v>
      </c>
      <c r="L5" s="24" t="n">
        <f aca="false">IFERROR(AVERAGEIFS(Commits[DaysToRelease], Commits[DateCommit], "&gt;=" &amp; K$1, Commits[DateCommit], "&lt;" &amp; L$1), 0)</f>
        <v>110</v>
      </c>
      <c r="M5" s="24" t="n">
        <f aca="false">IFERROR(AVERAGEIFS(Commits[DaysToRelease], Commits[DateCommit], "&gt;=" &amp; L$1, Commits[DateCommit], "&lt;" &amp; M$1), 0)</f>
        <v>0</v>
      </c>
      <c r="N5" s="24" t="n">
        <f aca="false">IFERROR(AVERAGEIFS(Commits[DaysToRelease], Commits[DateCommit], "&gt;=" &amp; M$1, Commits[DateCommit], "&lt;" &amp; N$1), 0)</f>
        <v>1.4</v>
      </c>
      <c r="O5" s="24" t="n">
        <f aca="false">IFERROR(AVERAGEIFS(Commits[DaysToRelease], Commits[DateCommit], "&gt;=" &amp; N$1, Commits[DateCommit], "&lt;" &amp; O$1), 0)</f>
        <v>3.52941176470588</v>
      </c>
      <c r="P5" s="24" t="n">
        <f aca="false">IFERROR(AVERAGEIFS(Commits[DaysToRelease], Commits[DateCommit], "&gt;=" &amp; O$1, Commits[DateCommit], "&lt;" &amp; P$1), 0)</f>
        <v>1</v>
      </c>
      <c r="Q5" s="24" t="n">
        <f aca="false">IFERROR(AVERAGEIFS(Commits[DaysToRelease], Commits[DateCommit], "&gt;=" &amp; P$1, Commits[DateCommit], "&lt;" &amp; Q$1), 0)</f>
        <v>16.2</v>
      </c>
      <c r="R5" s="24" t="n">
        <f aca="false">IFERROR(AVERAGEIFS(Commits[DaysToRelease], Commits[DateCommit], "&gt;=" &amp; Q$1, Commits[DateCommit], "&lt;" &amp; R$1), 0)</f>
        <v>1</v>
      </c>
      <c r="S5" s="24" t="n">
        <f aca="false">IFERROR(AVERAGEIFS(Commits[DaysToRelease], Commits[DateCommit], "&gt;=" &amp; R$1, Commits[DateCommit], "&lt;" &amp; S$1), 0)</f>
        <v>2.85714285714286</v>
      </c>
      <c r="T5" s="24" t="n">
        <f aca="false">IFERROR(AVERAGEIFS(Commits[DaysToRelease], Commits[DateCommit], "&gt;=" &amp; S$1, Commits[DateCommit], "&lt;" &amp; T$1), 0)</f>
        <v>3</v>
      </c>
      <c r="U5" s="24" t="n">
        <f aca="false">IFERROR(AVERAGEIFS(Commits[DaysToRelease], Commits[DateCommit], "&gt;=" &amp; T$1, Commits[DateCommit], "&lt;" &amp; U$1), 0)</f>
        <v>0</v>
      </c>
      <c r="V5" s="24" t="n">
        <f aca="false">IFERROR(AVERAGEIFS(Commits[DaysToRelease], Commits[DateCommit], "&gt;=" &amp; U$1, Commits[DateCommit], "&lt;" &amp; V$1), 0)</f>
        <v>0</v>
      </c>
      <c r="W5" s="24" t="n">
        <f aca="false">IFERROR(AVERAGEIFS(Commits[DaysToRelease], Commits[DateCommit], "&gt;=" &amp; V$1, Commits[DateCommit], "&lt;" &amp; W$1), 0)</f>
        <v>0</v>
      </c>
      <c r="X5" s="24" t="n">
        <f aca="false">IFERROR(AVERAGEIFS(Commits[DaysToRelease], Commits[DateCommit], "&gt;=" &amp; W$1, Commits[DateCommit], "&lt;" &amp; X$1), 0)</f>
        <v>0</v>
      </c>
      <c r="Y5" s="24" t="n">
        <f aca="false">IFERROR(AVERAGEIFS(Commits[DaysToRelease], Commits[DateCommit], "&gt;=" &amp; X$1, Commits[DateCommit], "&lt;" &amp; Y$1), 0)</f>
        <v>0</v>
      </c>
      <c r="Z5" s="24" t="n">
        <f aca="false">IFERROR(AVERAGEIFS(Commits[DaysToRelease], Commits[DateCommit], "&gt;=" &amp; Y$1, Commits[DateCommit], "&lt;" &amp; Z$1), 0)</f>
        <v>0</v>
      </c>
      <c r="AA5" s="24" t="n">
        <f aca="false">IFERROR(AVERAGEIFS(Commits[DaysToRelease], Commits[DateCommit], "&gt;=" &amp; Z$1, Commits[DateCommit], "&lt;" &amp; AA$1), 0)</f>
        <v>0</v>
      </c>
      <c r="AB5" s="24" t="n">
        <f aca="false">IFERROR(AVERAGEIFS(Commits[DaysToRelease], Commits[DateCommit], "&gt;=" &amp; AA$1, Commits[DateCommit], "&lt;" &amp; AB$1), 0)</f>
        <v>0</v>
      </c>
      <c r="AC5" s="24" t="n">
        <f aca="false">IFERROR(AVERAGEIFS(Commits[DaysToRelease], Commits[DateCommit], "&gt;=" &amp; AB$1, Commits[DateCommit], "&lt;" &amp; AC$1), 0)</f>
        <v>0</v>
      </c>
      <c r="AD5" s="24" t="n">
        <f aca="false">IFERROR(AVERAGEIFS(Commits[DaysToRelease], Commits[DateCommit], "&gt;=" &amp; AC$1, Commits[DateCommit], "&lt;" &amp; AD$1), 0)</f>
        <v>0</v>
      </c>
      <c r="AE5" s="24" t="n">
        <f aca="false">IFERROR(AVERAGEIFS(Commits[DaysToRelease], Commits[DateCommit], "&gt;=" &amp; AD$1, Commits[DateCommit], "&lt;" &amp; AE$1), 0)</f>
        <v>0</v>
      </c>
      <c r="AF5" s="24" t="n">
        <f aca="false">IFERROR(AVERAGEIFS(Commits[DaysToRelease], Commits[DateCommit], "&gt;=" &amp; AE$1, Commits[DateCommit], "&lt;" &amp; AF$1), 0)</f>
        <v>0</v>
      </c>
      <c r="XFD5" s="24" t="e">
        <f aca="false">AVERAGEIFS(Commits[DaysToRelease], Commits[DateCommit], "&gt;=" &amp; XFC$1, Commits[DateCommit], "&lt;" &amp; XFD$1)</f>
        <v>#DIV/0!</v>
      </c>
    </row>
    <row r="6" customFormat="false" ht="15" hidden="false" customHeight="false" outlineLevel="0" collapsed="false">
      <c r="A6" s="21" t="s">
        <v>18</v>
      </c>
      <c r="B6" s="21"/>
      <c r="C6" s="21" t="n">
        <f aca="false">AVERAGE(Issues[DaysToRelease])</f>
        <v>0.444444444444444</v>
      </c>
      <c r="D6" s="0" t="s">
        <v>19</v>
      </c>
      <c r="E6" s="24" t="n">
        <f aca="false">IFERROR(AVERAGEIFS(Issues[DaysToRelease], Issues[ReleaseDate], "&gt;=" &amp; D$1, Issues[ReleaseDate], "&lt;" &amp; E$1), 0)</f>
        <v>0</v>
      </c>
      <c r="F6" s="24" t="n">
        <f aca="false">IFERROR(AVERAGEIFS(Issues[DaysToRelease], Issues[ReleaseDate], "&gt;=" &amp; E$1, Issues[ReleaseDate], "&lt;" &amp; F$1), 0)</f>
        <v>0</v>
      </c>
      <c r="G6" s="24" t="n">
        <f aca="false">IFERROR(AVERAGEIFS(Issues[DaysToRelease], Issues[ReleaseDate], "&gt;=" &amp; F$1, Issues[ReleaseDate], "&lt;" &amp; G$1), 0)</f>
        <v>0</v>
      </c>
      <c r="H6" s="24" t="n">
        <f aca="false">IFERROR(AVERAGEIFS(Issues[DaysToRelease], Issues[ReleaseDate], "&gt;=" &amp; G$1, Issues[ReleaseDate], "&lt;" &amp; H$1), 0)</f>
        <v>0</v>
      </c>
      <c r="I6" s="24" t="n">
        <f aca="false">IFERROR(AVERAGEIFS(Issues[DaysToRelease], Issues[ReleaseDate], "&gt;=" &amp; H$1, Issues[ReleaseDate], "&lt;" &amp; I$1), 0)</f>
        <v>0</v>
      </c>
      <c r="J6" s="24" t="n">
        <f aca="false">IFERROR(AVERAGEIFS(Issues[DaysToRelease], Issues[ReleaseDate], "&gt;=" &amp; I$1, Issues[ReleaseDate], "&lt;" &amp; J$1), 0)</f>
        <v>0</v>
      </c>
      <c r="K6" s="24" t="n">
        <f aca="false">IFERROR(AVERAGEIFS(Issues[DaysToRelease], Issues[ReleaseDate], "&gt;=" &amp; J$1, Issues[ReleaseDate], "&lt;" &amp; K$1), 0)</f>
        <v>0</v>
      </c>
      <c r="L6" s="24" t="n">
        <f aca="false">IFERROR(AVERAGEIFS(Issues[DaysToRelease], Issues[ReleaseDate], "&gt;=" &amp; K$1, Issues[ReleaseDate], "&lt;" &amp; L$1), 0)</f>
        <v>0</v>
      </c>
      <c r="M6" s="24" t="n">
        <f aca="false">IFERROR(AVERAGEIFS(Issues[DaysToRelease], Issues[ReleaseDate], "&gt;=" &amp; L$1, Issues[ReleaseDate], "&lt;" &amp; M$1), 0)</f>
        <v>0</v>
      </c>
      <c r="N6" s="24" t="n">
        <f aca="false">IFERROR(AVERAGEIFS(Issues[DaysToRelease], Issues[ReleaseDate], "&gt;=" &amp; M$1, Issues[ReleaseDate], "&lt;" &amp; N$1), 0)</f>
        <v>0</v>
      </c>
      <c r="O6" s="24" t="n">
        <f aca="false">IFERROR(AVERAGEIFS(Issues[DaysToRelease], Issues[ReleaseDate], "&gt;=" &amp; N$1, Issues[ReleaseDate], "&lt;" &amp; O$1), 0)</f>
        <v>0</v>
      </c>
      <c r="P6" s="24" t="n">
        <f aca="false">IFERROR(AVERAGEIFS(Issues[DaysToRelease], Issues[ReleaseDate], "&gt;=" &amp; O$1, Issues[ReleaseDate], "&lt;" &amp; P$1), 0)</f>
        <v>0</v>
      </c>
      <c r="Q6" s="24" t="n">
        <f aca="false">IFERROR(AVERAGEIFS(Issues[DaysToRelease], Issues[ReleaseDate], "&gt;=" &amp; P$1, Issues[ReleaseDate], "&lt;" &amp; Q$1), 0)</f>
        <v>0</v>
      </c>
      <c r="R6" s="24" t="n">
        <f aca="false">IFERROR(AVERAGEIFS(Issues[DaysToRelease], Issues[ReleaseDate], "&gt;=" &amp; Q$1, Issues[ReleaseDate], "&lt;" &amp; R$1), 0)</f>
        <v>0</v>
      </c>
      <c r="S6" s="24" t="n">
        <f aca="false">IFERROR(AVERAGEIFS(Issues[DaysToRelease], Issues[ReleaseDate], "&gt;=" &amp; R$1, Issues[ReleaseDate], "&lt;" &amp; S$1), 0)</f>
        <v>0.25</v>
      </c>
      <c r="T6" s="24" t="n">
        <f aca="false">IFERROR(AVERAGEIFS(Issues[DaysToRelease], Issues[ReleaseDate], "&gt;=" &amp; S$1, Issues[ReleaseDate], "&lt;" &amp; T$1), 0)</f>
        <v>0.5</v>
      </c>
      <c r="U6" s="24" t="n">
        <f aca="false">IFERROR(AVERAGEIFS(Issues[DaysToRelease], Issues[ReleaseDate], "&gt;=" &amp; T$1, Issues[ReleaseDate], "&lt;" &amp; U$1), 0)</f>
        <v>0</v>
      </c>
      <c r="V6" s="24" t="n">
        <f aca="false">IFERROR(AVERAGEIFS(Issues[DaysToRelease], Issues[ReleaseDate], "&gt;=" &amp; U$1, Issues[ReleaseDate], "&lt;" &amp; V$1), 0)</f>
        <v>0</v>
      </c>
      <c r="W6" s="24" t="n">
        <f aca="false">IFERROR(AVERAGEIFS(Issues[DaysToRelease], Issues[ReleaseDate], "&gt;=" &amp; V$1, Issues[ReleaseDate], "&lt;" &amp; W$1), 0)</f>
        <v>0</v>
      </c>
      <c r="X6" s="24" t="n">
        <f aca="false">IFERROR(AVERAGEIFS(Issues[DaysToRelease], Issues[ReleaseDate], "&gt;=" &amp; W$1, Issues[ReleaseDate], "&lt;" &amp; X$1), 0)</f>
        <v>0</v>
      </c>
      <c r="Y6" s="24" t="n">
        <f aca="false">IFERROR(AVERAGEIFS(Issues[DaysToRelease], Issues[ReleaseDate], "&gt;=" &amp; X$1, Issues[ReleaseDate], "&lt;" &amp; Y$1), 0)</f>
        <v>0</v>
      </c>
      <c r="Z6" s="24" t="n">
        <f aca="false">IFERROR(AVERAGEIFS(Issues[DaysToRelease], Issues[ReleaseDate], "&gt;=" &amp; Y$1, Issues[ReleaseDate], "&lt;" &amp; Z$1), 0)</f>
        <v>0</v>
      </c>
      <c r="AA6" s="24" t="n">
        <f aca="false">IFERROR(AVERAGEIFS(Issues[DaysToRelease], Issues[ReleaseDate], "&gt;=" &amp; Z$1, Issues[ReleaseDate], "&lt;" &amp; AA$1), 0)</f>
        <v>0</v>
      </c>
      <c r="AB6" s="24" t="n">
        <f aca="false">IFERROR(AVERAGEIFS(Issues[DaysToRelease], Issues[ReleaseDate], "&gt;=" &amp; AA$1, Issues[ReleaseDate], "&lt;" &amp; AB$1), 0)</f>
        <v>0</v>
      </c>
      <c r="AC6" s="24" t="n">
        <f aca="false">IFERROR(AVERAGEIFS(Issues[DaysToRelease], Issues[ReleaseDate], "&gt;=" &amp; AB$1, Issues[ReleaseDate], "&lt;" &amp; AC$1), 0)</f>
        <v>0</v>
      </c>
      <c r="AD6" s="24" t="n">
        <f aca="false">IFERROR(AVERAGEIFS(Issues[DaysToRelease], Issues[ReleaseDate], "&gt;=" &amp; AC$1, Issues[ReleaseDate], "&lt;" &amp; AD$1), 0)</f>
        <v>0</v>
      </c>
      <c r="AE6" s="24" t="n">
        <f aca="false">IFERROR(AVERAGEIFS(Issues[DaysToRelease], Issues[ReleaseDate], "&gt;=" &amp; AD$1, Issues[ReleaseDate], "&lt;" &amp; AE$1), 0)</f>
        <v>0</v>
      </c>
      <c r="AF6" s="24" t="n">
        <f aca="false">IFERROR(AVERAGEIFS(Issues[DaysToRelease], Issues[ReleaseDate], "&gt;=" &amp; AE$1, Issues[ReleaseDate], "&lt;" &amp; AF$1), 0)</f>
        <v>0</v>
      </c>
    </row>
    <row r="7" customFormat="false" ht="15" hidden="false" customHeight="false" outlineLevel="0" collapsed="false">
      <c r="A7" s="21"/>
      <c r="B7" s="21"/>
      <c r="C7" s="21"/>
    </row>
    <row r="8" customFormat="false" ht="15" hidden="false" customHeight="false" outlineLevel="0" collapsed="false">
      <c r="A8" s="21"/>
      <c r="B8" s="21"/>
      <c r="C8" s="21"/>
    </row>
    <row r="9" customFormat="false" ht="15" hidden="false" customHeight="false" outlineLevel="0" collapsed="false">
      <c r="A9" s="21"/>
      <c r="B9" s="21"/>
      <c r="C9" s="21"/>
    </row>
    <row r="10" customFormat="false" ht="15" hidden="false" customHeight="false" outlineLevel="0" collapsed="false">
      <c r="A10" s="21"/>
      <c r="B10" s="21"/>
      <c r="C10" s="21"/>
    </row>
    <row r="11" customFormat="false" ht="15" hidden="false" customHeight="false" outlineLevel="0" collapsed="false">
      <c r="A11" s="21"/>
      <c r="B11" s="21"/>
      <c r="C11" s="21"/>
    </row>
    <row r="12" customFormat="false" ht="15" hidden="false" customHeight="false" outlineLevel="0" collapsed="false">
      <c r="D1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.29"/>
    <col collapsed="false" customWidth="true" hidden="false" outlineLevel="0" max="3" min="3" style="0" width="27.7"/>
    <col collapsed="false" customWidth="true" hidden="false" outlineLevel="0" max="4" min="4" style="0" width="22.3"/>
    <col collapsed="false" customWidth="true" hidden="false" outlineLevel="0" max="5" min="5" style="0" width="13.86"/>
    <col collapsed="false" customWidth="true" hidden="false" outlineLevel="0" max="6" min="6" style="0" width="9.29"/>
    <col collapsed="false" customWidth="true" hidden="false" outlineLevel="0" max="7" min="7" style="0" width="10.43"/>
    <col collapsed="false" customWidth="true" hidden="false" outlineLevel="0" max="9" min="8" style="0" width="9.29"/>
    <col collapsed="false" customWidth="true" hidden="false" outlineLevel="0" max="10" min="10" style="0" width="11.86"/>
    <col collapsed="false" customWidth="true" hidden="false" outlineLevel="0" max="13" min="11" style="0" width="11.57"/>
  </cols>
  <sheetData>
    <row r="1" s="19" customFormat="true" ht="13.8" hidden="false" customHeight="false" outlineLevel="0" collapsed="false">
      <c r="A1" s="18"/>
      <c r="B1" s="18" t="s">
        <v>21</v>
      </c>
      <c r="D1" s="19" t="s">
        <v>22</v>
      </c>
      <c r="E1" s="19" t="n">
        <v>45627</v>
      </c>
      <c r="F1" s="19" t="n">
        <v>45658</v>
      </c>
      <c r="G1" s="19" t="n">
        <v>45689</v>
      </c>
      <c r="H1" s="19" t="n">
        <v>45717</v>
      </c>
      <c r="I1" s="19" t="n">
        <v>45748</v>
      </c>
      <c r="J1" s="19" t="n">
        <v>45778</v>
      </c>
      <c r="K1" s="19" t="n">
        <v>45809</v>
      </c>
      <c r="L1" s="19" t="n">
        <v>45839</v>
      </c>
      <c r="M1" s="19" t="n">
        <v>45870</v>
      </c>
      <c r="N1" s="19" t="n">
        <v>45901</v>
      </c>
      <c r="O1" s="19" t="n">
        <v>45931</v>
      </c>
      <c r="P1" s="19" t="n">
        <v>45962</v>
      </c>
      <c r="Q1" s="19" t="n">
        <v>45992</v>
      </c>
      <c r="R1" s="19" t="n">
        <v>46023</v>
      </c>
      <c r="S1" s="19" t="n">
        <v>46054</v>
      </c>
      <c r="T1" s="19" t="n">
        <v>46082</v>
      </c>
      <c r="U1" s="19" t="n">
        <v>46113</v>
      </c>
      <c r="V1" s="19" t="n">
        <v>46143</v>
      </c>
      <c r="W1" s="19" t="n">
        <v>46174</v>
      </c>
      <c r="X1" s="19" t="n">
        <v>46204</v>
      </c>
      <c r="Y1" s="19" t="n">
        <v>46235</v>
      </c>
      <c r="Z1" s="19" t="n">
        <v>46266</v>
      </c>
      <c r="AA1" s="19" t="n">
        <v>46296</v>
      </c>
      <c r="AB1" s="19" t="n">
        <v>46327</v>
      </c>
      <c r="AC1" s="19" t="n">
        <v>46357</v>
      </c>
      <c r="AD1" s="19" t="n">
        <v>46388</v>
      </c>
      <c r="AE1" s="19" t="n">
        <v>46419</v>
      </c>
      <c r="AF1" s="19" t="n">
        <v>46447</v>
      </c>
    </row>
    <row r="2" s="20" customFormat="true" ht="13.8" hidden="false" customHeight="false" outlineLevel="0" collapsed="false">
      <c r="A2" s="13" t="s">
        <v>11</v>
      </c>
      <c r="B2" s="13" t="n">
        <f aca="false">(MAX(Deployments[Acc])-MIN(Deployments[Acc]))/COUNTA(Deployments[Acc])</f>
        <v>2.98275862068966</v>
      </c>
      <c r="C2" s="20" t="s">
        <v>12</v>
      </c>
      <c r="D2" s="20" t="n">
        <f aca="false">SUM(E2:AF2)/((AF1-E1)/30)</f>
        <v>2.1219512195122</v>
      </c>
      <c r="E2" s="20" t="n">
        <f aca="false">COUNTIFS(Deployments[Acc],"&gt;="&amp;C$1,Deployments[Acc],"&lt;"&amp;E$1)</f>
        <v>0</v>
      </c>
      <c r="F2" s="20" t="n">
        <f aca="false">COUNTIFS(Deployments[Acc],"&gt;="&amp;E$1,Deployments[Acc],"&lt;"&amp;F$1)</f>
        <v>0</v>
      </c>
      <c r="G2" s="20" t="n">
        <f aca="false">COUNTIFS(Deployments[Acc],"&gt;="&amp;F$1,Deployments[Acc],"&lt;"&amp;G$1)</f>
        <v>0</v>
      </c>
      <c r="H2" s="20" t="n">
        <f aca="false">COUNTIFS(Deployments[Acc],"&gt;="&amp;G$1,Deployments[Acc],"&lt;"&amp;H$1)</f>
        <v>0</v>
      </c>
      <c r="I2" s="20" t="n">
        <f aca="false">COUNTIFS(Deployments[Acc],"&gt;="&amp;H$1,Deployments[Acc],"&lt;"&amp;I$1)</f>
        <v>0</v>
      </c>
      <c r="J2" s="20" t="n">
        <f aca="false">COUNTIFS(Deployments[Acc],"&gt;="&amp;I$1,Deployments[Acc],"&lt;"&amp;J$1)</f>
        <v>0</v>
      </c>
      <c r="K2" s="20" t="n">
        <f aca="false">COUNTIFS(Deployments[Acc],"&gt;="&amp;J$1,Deployments[Acc],"&lt;"&amp;K$1)</f>
        <v>0</v>
      </c>
      <c r="L2" s="20" t="n">
        <f aca="false">COUNTIFS(Deployments[Acc],"&gt;="&amp;K$1,Deployments[Acc],"&lt;"&amp;L$1)</f>
        <v>0</v>
      </c>
      <c r="M2" s="20" t="n">
        <f aca="false">COUNTIFS(Deployments[Acc],"&gt;="&amp;L$1,Deployments[Acc],"&lt;"&amp;M$1)</f>
        <v>0</v>
      </c>
      <c r="N2" s="20" t="n">
        <f aca="false">COUNTIFS(Deployments[Acc],"&gt;="&amp;M$1,Deployments[Acc],"&lt;"&amp;N$1)</f>
        <v>4</v>
      </c>
      <c r="O2" s="20" t="n">
        <f aca="false">COUNTIFS(Deployments[Acc],"&gt;="&amp;N$1,Deployments[Acc],"&lt;"&amp;O$1)</f>
        <v>10</v>
      </c>
      <c r="P2" s="20" t="n">
        <f aca="false">COUNTIFS(Deployments[Acc],"&gt;="&amp;O$1,Deployments[Acc],"&lt;"&amp;P$1)</f>
        <v>18</v>
      </c>
      <c r="Q2" s="20" t="n">
        <f aca="false">COUNTIFS(Deployments[Acc],"&gt;="&amp;P$1,Deployments[Acc],"&lt;"&amp;Q$1)</f>
        <v>4</v>
      </c>
      <c r="R2" s="20" t="n">
        <f aca="false">COUNTIFS(Deployments[Acc],"&gt;="&amp;Q$1,Deployments[Acc],"&lt;"&amp;R$1)</f>
        <v>7</v>
      </c>
      <c r="S2" s="20" t="n">
        <f aca="false">COUNTIFS(Deployments[Acc],"&gt;="&amp;R$1,Deployments[Acc],"&lt;"&amp;S$1)</f>
        <v>8</v>
      </c>
      <c r="T2" s="20" t="n">
        <f aca="false">COUNTIFS(Deployments[Acc],"&gt;="&amp;S$1,Deployments[Acc],"&lt;"&amp;T$1)</f>
        <v>7</v>
      </c>
      <c r="U2" s="20" t="n">
        <f aca="false">COUNTIFS(Deployments[Acc],"&gt;="&amp;T$1,Deployments[Acc],"&lt;"&amp;U$1)</f>
        <v>0</v>
      </c>
      <c r="V2" s="20" t="n">
        <f aca="false">COUNTIFS(Deployments[Acc],"&gt;="&amp;U$1,Deployments[Acc],"&lt;"&amp;V$1)</f>
        <v>0</v>
      </c>
      <c r="W2" s="20" t="n">
        <f aca="false">COUNTIFS(Deployments[Acc],"&gt;="&amp;V$1,Deployments[Acc],"&lt;"&amp;W$1)</f>
        <v>0</v>
      </c>
      <c r="X2" s="20" t="n">
        <f aca="false">COUNTIFS(Deployments[Acc],"&gt;="&amp;W$1,Deployments[Acc],"&lt;"&amp;X$1)</f>
        <v>0</v>
      </c>
      <c r="Y2" s="20" t="n">
        <f aca="false">COUNTIFS(Deployments[Acc],"&gt;="&amp;X$1,Deployments[Acc],"&lt;"&amp;Y$1)</f>
        <v>0</v>
      </c>
      <c r="Z2" s="20" t="n">
        <f aca="false">COUNTIFS(Deployments[Acc],"&gt;="&amp;Y$1,Deployments[Acc],"&lt;"&amp;Z$1)</f>
        <v>0</v>
      </c>
      <c r="AA2" s="20" t="n">
        <f aca="false">COUNTIFS(Deployments[Acc],"&gt;="&amp;Z$1,Deployments[Acc],"&lt;"&amp;AA$1)</f>
        <v>0</v>
      </c>
      <c r="AB2" s="20" t="n">
        <f aca="false">COUNTIFS(Deployments[Acc],"&gt;="&amp;AA$1,Deployments[Acc],"&lt;"&amp;AB$1)</f>
        <v>0</v>
      </c>
      <c r="AC2" s="20" t="n">
        <f aca="false">COUNTIFS(Deployments[Acc],"&gt;="&amp;AB$1,Deployments[Acc],"&lt;"&amp;AC$1)</f>
        <v>0</v>
      </c>
      <c r="AD2" s="20" t="n">
        <f aca="false">COUNTIFS(Deployments[Acc],"&gt;="&amp;AC$1,Deployments[Acc],"&lt;"&amp;AD$1)</f>
        <v>0</v>
      </c>
      <c r="AE2" s="20" t="n">
        <f aca="false">COUNTIFS(Deployments[Acc],"&gt;="&amp;AD$1,Deployments[Acc],"&lt;"&amp;AE$1)</f>
        <v>0</v>
      </c>
      <c r="AF2" s="20" t="n">
        <f aca="false">COUNTIFS(Deployments[Acc],"&gt;="&amp;AE$1,Deployments[Acc],"&lt;"&amp;AF$1)</f>
        <v>0</v>
      </c>
    </row>
    <row r="3" customFormat="false" ht="13.8" hidden="false" customHeight="false" outlineLevel="0" collapsed="false">
      <c r="A3" s="21" t="s">
        <v>13</v>
      </c>
      <c r="B3" s="13" t="n">
        <f aca="false">(MAX(Deployments[Prod])-MIN(Deployments[Prod]))/COUNTA(Deployments[Prod])</f>
        <v>2.98275862068966</v>
      </c>
      <c r="C3" s="20" t="s">
        <v>12</v>
      </c>
      <c r="D3" s="20" t="n">
        <f aca="false">SUM(E3:AF3)/(($AF$1-$E$1)/30)</f>
        <v>2.1219512195122</v>
      </c>
      <c r="E3" s="0" t="n">
        <f aca="false">COUNTIFS(Deployments[Prod],"&gt;="&amp;C$1,Deployments[Prod],"&lt;"&amp;E$1)</f>
        <v>0</v>
      </c>
      <c r="F3" s="0" t="n">
        <f aca="false">COUNTIFS(Deployments[Prod],"&gt;="&amp;E$1,Deployments[Prod],"&lt;"&amp;F$1)</f>
        <v>0</v>
      </c>
      <c r="G3" s="0" t="n">
        <f aca="false">COUNTIFS(Deployments[Prod],"&gt;="&amp;F$1,Deployments[Prod],"&lt;"&amp;G$1)</f>
        <v>0</v>
      </c>
      <c r="H3" s="0" t="n">
        <f aca="false">COUNTIFS(Deployments[Prod],"&gt;="&amp;G$1,Deployments[Prod],"&lt;"&amp;H$1)</f>
        <v>0</v>
      </c>
      <c r="I3" s="0" t="n">
        <f aca="false">COUNTIFS(Deployments[Prod],"&gt;="&amp;H$1,Deployments[Prod],"&lt;"&amp;I$1)</f>
        <v>0</v>
      </c>
      <c r="J3" s="0" t="n">
        <f aca="false">COUNTIFS(Deployments[Prod],"&gt;="&amp;I$1,Deployments[Prod],"&lt;"&amp;J$1)</f>
        <v>0</v>
      </c>
      <c r="K3" s="0" t="n">
        <f aca="false">COUNTIFS(Deployments[Prod],"&gt;="&amp;J$1,Deployments[Prod],"&lt;"&amp;K$1)</f>
        <v>0</v>
      </c>
      <c r="L3" s="0" t="n">
        <f aca="false">COUNTIFS(Deployments[Prod],"&gt;="&amp;K$1,Deployments[Prod],"&lt;"&amp;L$1)</f>
        <v>0</v>
      </c>
      <c r="M3" s="0" t="n">
        <f aca="false">COUNTIFS(Deployments[Prod],"&gt;="&amp;L$1,Deployments[Prod],"&lt;"&amp;M$1)</f>
        <v>0</v>
      </c>
      <c r="N3" s="0" t="n">
        <f aca="false">COUNTIFS(Deployments[Prod],"&gt;="&amp;M$1,Deployments[Prod],"&lt;"&amp;N$1)</f>
        <v>4</v>
      </c>
      <c r="O3" s="0" t="n">
        <f aca="false">COUNTIFS(Deployments[Prod],"&gt;="&amp;N$1,Deployments[Prod],"&lt;"&amp;O$1)</f>
        <v>10</v>
      </c>
      <c r="P3" s="0" t="n">
        <f aca="false">COUNTIFS(Deployments[Prod],"&gt;="&amp;O$1,Deployments[Prod],"&lt;"&amp;P$1)</f>
        <v>18</v>
      </c>
      <c r="Q3" s="0" t="n">
        <f aca="false">COUNTIFS(Deployments[Prod],"&gt;="&amp;P$1,Deployments[Prod],"&lt;"&amp;Q$1)</f>
        <v>4</v>
      </c>
      <c r="R3" s="0" t="n">
        <f aca="false">COUNTIFS(Deployments[Prod],"&gt;="&amp;Q$1,Deployments[Prod],"&lt;"&amp;R$1)</f>
        <v>7</v>
      </c>
      <c r="S3" s="0" t="n">
        <f aca="false">COUNTIFS(Deployments[Prod],"&gt;="&amp;R$1,Deployments[Prod],"&lt;"&amp;S$1)</f>
        <v>8</v>
      </c>
      <c r="T3" s="0" t="n">
        <f aca="false">COUNTIFS(Deployments[Prod],"&gt;="&amp;S$1,Deployments[Prod],"&lt;"&amp;T$1)</f>
        <v>7</v>
      </c>
      <c r="U3" s="0" t="n">
        <f aca="false">COUNTIFS(Deployments[Prod],"&gt;="&amp;T$1,Deployments[Prod],"&lt;"&amp;U$1)</f>
        <v>0</v>
      </c>
      <c r="V3" s="0" t="n">
        <f aca="false">COUNTIFS(Deployments[Prod],"&gt;="&amp;U$1,Deployments[Prod],"&lt;"&amp;V$1)</f>
        <v>0</v>
      </c>
      <c r="W3" s="0" t="n">
        <f aca="false">COUNTIFS(Deployments[Prod],"&gt;="&amp;V$1,Deployments[Prod],"&lt;"&amp;W$1)</f>
        <v>0</v>
      </c>
      <c r="X3" s="0" t="n">
        <f aca="false">COUNTIFS(Deployments[Prod],"&gt;="&amp;W$1,Deployments[Prod],"&lt;"&amp;X$1)</f>
        <v>0</v>
      </c>
      <c r="Y3" s="0" t="n">
        <f aca="false">COUNTIFS(Deployments[Prod],"&gt;="&amp;X$1,Deployments[Prod],"&lt;"&amp;Y$1)</f>
        <v>0</v>
      </c>
      <c r="Z3" s="0" t="n">
        <f aca="false">COUNTIFS(Deployments[Prod],"&gt;="&amp;Y$1,Deployments[Prod],"&lt;"&amp;Z$1)</f>
        <v>0</v>
      </c>
      <c r="AA3" s="0" t="n">
        <f aca="false">COUNTIFS(Deployments[Prod],"&gt;="&amp;Z$1,Deployments[Prod],"&lt;"&amp;AA$1)</f>
        <v>0</v>
      </c>
      <c r="AB3" s="0" t="n">
        <f aca="false">COUNTIFS(Deployments[Prod],"&gt;="&amp;AA$1,Deployments[Prod],"&lt;"&amp;AB$1)</f>
        <v>0</v>
      </c>
      <c r="AC3" s="0" t="n">
        <f aca="false">COUNTIFS(Deployments[Prod],"&gt;="&amp;AB$1,Deployments[Prod],"&lt;"&amp;AC$1)</f>
        <v>0</v>
      </c>
      <c r="AD3" s="0" t="n">
        <f aca="false">COUNTIFS(Deployments[Prod],"&gt;="&amp;AC$1,Deployments[Prod],"&lt;"&amp;AD$1)</f>
        <v>0</v>
      </c>
      <c r="AE3" s="0" t="n">
        <f aca="false">COUNTIFS(Deployments[Prod],"&gt;="&amp;AD$1,Deployments[Prod],"&lt;"&amp;AE$1)</f>
        <v>0</v>
      </c>
      <c r="AF3" s="0" t="n">
        <f aca="false">COUNTIFS(Deployments[Prod],"&gt;="&amp;AE$1,Deployments[Prod],"&lt;"&amp;AF$1)</f>
        <v>0</v>
      </c>
    </row>
    <row r="4" s="22" customFormat="true" ht="13.8" hidden="false" customHeight="false" outlineLevel="0" collapsed="false">
      <c r="A4" s="21" t="s">
        <v>14</v>
      </c>
      <c r="B4" s="21" t="n">
        <f aca="false">SUM(Deployments[failed?])/COUNT(Deployments[failed?])</f>
        <v>0.0689655172413793</v>
      </c>
      <c r="C4" s="22" t="s">
        <v>15</v>
      </c>
      <c r="D4" s="23" t="n">
        <f aca="false">IFERROR(D39/D38,0)</f>
        <v>0.00937848902121325</v>
      </c>
      <c r="E4" s="23" t="n">
        <f aca="false">IFERROR(SUMIFS(Deployments[failed?],Deployments[Prod],"&gt;="&amp;C$1,Deployments[Prod],"&lt;"&amp;E$1)/COUNTIFS(Deployments[Prod],"&gt;="&amp;C$1,Deployments[Prod],"&lt;"&amp;E$1),0)</f>
        <v>0</v>
      </c>
      <c r="F4" s="23" t="n">
        <f aca="false">IFERROR(SUMIFS(Deployments[failed?],Deployments[Prod],"&gt;="&amp;E$1,Deployments[Prod],"&lt;"&amp;F$1)/COUNTIFS(Deployments[Prod],"&gt;="&amp;E$1,Deployments[Prod],"&lt;"&amp;F$1),0)</f>
        <v>0</v>
      </c>
      <c r="G4" s="23" t="n">
        <f aca="false">IFERROR(SUMIFS(Deployments[failed?],Deployments[Prod],"&gt;="&amp;F$1,Deployments[Prod],"&lt;"&amp;G$1)/COUNTIFS(Deployments[Prod],"&gt;="&amp;F$1,Deployments[Prod],"&lt;"&amp;G$1),0)</f>
        <v>0</v>
      </c>
      <c r="H4" s="23" t="n">
        <f aca="false">IFERROR(SUMIFS(Deployments[failed?],Deployments[Prod],"&gt;="&amp;G$1,Deployments[Prod],"&lt;"&amp;H$1)/COUNTIFS(Deployments[Prod],"&gt;="&amp;G$1,Deployments[Prod],"&lt;"&amp;H$1),0)</f>
        <v>0</v>
      </c>
      <c r="I4" s="23" t="n">
        <f aca="false">IFERROR(SUMIFS(Deployments[failed?],Deployments[Prod],"&gt;="&amp;H$1,Deployments[Prod],"&lt;"&amp;I$1)/COUNTIFS(Deployments[Prod],"&gt;="&amp;H$1,Deployments[Prod],"&lt;"&amp;I$1),0)</f>
        <v>0</v>
      </c>
      <c r="J4" s="23" t="n">
        <f aca="false">IFERROR(SUMIFS(Deployments[failed?],Deployments[Prod],"&gt;="&amp;I$1,Deployments[Prod],"&lt;"&amp;J$1)/COUNTIFS(Deployments[Prod],"&gt;="&amp;I$1,Deployments[Prod],"&lt;"&amp;J$1),0)</f>
        <v>0</v>
      </c>
      <c r="K4" s="23" t="n">
        <f aca="false">IFERROR(SUMIFS(Deployments[failed?],Deployments[Prod],"&gt;="&amp;J$1,Deployments[Prod],"&lt;"&amp;K$1)/COUNTIFS(Deployments[Prod],"&gt;="&amp;J$1,Deployments[Prod],"&lt;"&amp;K$1),0)</f>
        <v>0</v>
      </c>
      <c r="L4" s="23" t="n">
        <f aca="false">IFERROR(SUMIFS(Deployments[failed?],Deployments[Prod],"&gt;="&amp;K$1,Deployments[Prod],"&lt;"&amp;L$1)/COUNTIFS(Deployments[Prod],"&gt;="&amp;K$1,Deployments[Prod],"&lt;"&amp;L$1),0)</f>
        <v>0</v>
      </c>
      <c r="M4" s="23" t="n">
        <f aca="false">IFERROR(SUMIFS(Deployments[failed?],Deployments[Prod],"&gt;="&amp;L$1,Deployments[Prod],"&lt;"&amp;M$1)/COUNTIFS(Deployments[Prod],"&gt;="&amp;L$1,Deployments[Prod],"&lt;"&amp;M$1),0)</f>
        <v>0</v>
      </c>
      <c r="N4" s="23" t="n">
        <f aca="false">IFERROR(SUMIFS(Deployments[failed?],Deployments[Prod],"&gt;="&amp;M$1,Deployments[Prod],"&lt;"&amp;N$1)/COUNTIFS(Deployments[Prod],"&gt;="&amp;M$1,Deployments[Prod],"&lt;"&amp;N$1),0)</f>
        <v>0</v>
      </c>
      <c r="O4" s="23" t="n">
        <f aca="false">IFERROR(SUMIFS(Deployments[failed?],Deployments[Prod],"&gt;="&amp;N$1,Deployments[Prod],"&lt;"&amp;O$1)/COUNTIFS(Deployments[Prod],"&gt;="&amp;N$1,Deployments[Prod],"&lt;"&amp;O$1),0)</f>
        <v>0.1</v>
      </c>
      <c r="P4" s="23" t="n">
        <f aca="false">IFERROR(SUMIFS(Deployments[failed?],Deployments[Prod],"&gt;="&amp;O$1,Deployments[Prod],"&lt;"&amp;P$1)/COUNTIFS(Deployments[Prod],"&gt;="&amp;O$1,Deployments[Prod],"&lt;"&amp;P$1),0)</f>
        <v>0.166666666666667</v>
      </c>
      <c r="Q4" s="23" t="n">
        <f aca="false">IFERROR(SUMIFS(Deployments[failed?],Deployments[Prod],"&gt;="&amp;P$1,Deployments[Prod],"&lt;"&amp;Q$1)/COUNTIFS(Deployments[Prod],"&gt;="&amp;P$1,Deployments[Prod],"&lt;"&amp;Q$1),0)</f>
        <v>0</v>
      </c>
      <c r="R4" s="23" t="n">
        <f aca="false">IFERROR(SUMIFS(Deployments[failed?],Deployments[Prod],"&gt;="&amp;Q$1,Deployments[Prod],"&lt;"&amp;R$1)/COUNTIFS(Deployments[Prod],"&gt;="&amp;Q$1,Deployments[Prod],"&lt;"&amp;R$1),0)</f>
        <v>0</v>
      </c>
      <c r="S4" s="23" t="n">
        <f aca="false">IFERROR(SUMIFS(Deployments[failed?],Deployments[Prod],"&gt;="&amp;R$1,Deployments[Prod],"&lt;"&amp;S$1)/COUNTIFS(Deployments[Prod],"&gt;="&amp;R$1,Deployments[Prod],"&lt;"&amp;S$1),0)</f>
        <v>0</v>
      </c>
      <c r="T4" s="23" t="n">
        <f aca="false">IFERROR(SUMIFS(Deployments[failed?],Deployments[Prod],"&gt;="&amp;S$1,Deployments[Prod],"&lt;"&amp;T$1)/COUNTIFS(Deployments[Prod],"&gt;="&amp;S$1,Deployments[Prod],"&lt;"&amp;T$1),0)</f>
        <v>0</v>
      </c>
      <c r="U4" s="23" t="n">
        <f aca="false">IFERROR(SUMIFS(Deployments[failed?],Deployments[Prod],"&gt;="&amp;T$1,Deployments[Prod],"&lt;"&amp;U$1)/COUNTIFS(Deployments[Prod],"&gt;="&amp;T$1,Deployments[Prod],"&lt;"&amp;U$1),0)</f>
        <v>0</v>
      </c>
      <c r="V4" s="23" t="n">
        <f aca="false">IFERROR(SUMIFS(Deployments[failed?],Deployments[Prod],"&gt;="&amp;U$1,Deployments[Prod],"&lt;"&amp;V$1)/COUNTIFS(Deployments[Prod],"&gt;="&amp;U$1,Deployments[Prod],"&lt;"&amp;V$1),0)</f>
        <v>0</v>
      </c>
      <c r="W4" s="23" t="n">
        <f aca="false">IFERROR(SUMIFS(Deployments[failed?],Deployments[Prod],"&gt;="&amp;V$1,Deployments[Prod],"&lt;"&amp;W$1)/COUNTIFS(Deployments[Prod],"&gt;="&amp;V$1,Deployments[Prod],"&lt;"&amp;W$1),0)</f>
        <v>0</v>
      </c>
      <c r="X4" s="23" t="n">
        <f aca="false">IFERROR(SUMIFS(Deployments[failed?],Deployments[Prod],"&gt;="&amp;W$1,Deployments[Prod],"&lt;"&amp;X$1)/COUNTIFS(Deployments[Prod],"&gt;="&amp;W$1,Deployments[Prod],"&lt;"&amp;X$1),0)</f>
        <v>0</v>
      </c>
      <c r="Y4" s="23" t="n">
        <f aca="false">IFERROR(SUMIFS(Deployments[failed?],Deployments[Prod],"&gt;="&amp;X$1,Deployments[Prod],"&lt;"&amp;Y$1)/COUNTIFS(Deployments[Prod],"&gt;="&amp;X$1,Deployments[Prod],"&lt;"&amp;Y$1),0)</f>
        <v>0</v>
      </c>
      <c r="Z4" s="23" t="n">
        <f aca="false">IFERROR(SUMIFS(Deployments[failed?],Deployments[Prod],"&gt;="&amp;Y$1,Deployments[Prod],"&lt;"&amp;Z$1)/COUNTIFS(Deployments[Prod],"&gt;="&amp;Y$1,Deployments[Prod],"&lt;"&amp;Z$1),0)</f>
        <v>0</v>
      </c>
      <c r="AA4" s="23" t="n">
        <f aca="false">IFERROR(SUMIFS(Deployments[failed?],Deployments[Prod],"&gt;="&amp;Z$1,Deployments[Prod],"&lt;"&amp;AA$1)/COUNTIFS(Deployments[Prod],"&gt;="&amp;Z$1,Deployments[Prod],"&lt;"&amp;AA$1),0)</f>
        <v>0</v>
      </c>
      <c r="AB4" s="23" t="n">
        <f aca="false">IFERROR(SUMIFS(Deployments[failed?],Deployments[Prod],"&gt;="&amp;AA$1,Deployments[Prod],"&lt;"&amp;AB$1)/COUNTIFS(Deployments[Prod],"&gt;="&amp;AA$1,Deployments[Prod],"&lt;"&amp;AB$1),0)</f>
        <v>0</v>
      </c>
      <c r="AC4" s="23" t="n">
        <f aca="false">IFERROR(SUMIFS(Deployments[failed?],Deployments[Prod],"&gt;="&amp;AB$1,Deployments[Prod],"&lt;"&amp;AC$1)/COUNTIFS(Deployments[Prod],"&gt;="&amp;AB$1,Deployments[Prod],"&lt;"&amp;AC$1),0)</f>
        <v>0</v>
      </c>
      <c r="AD4" s="23" t="n">
        <f aca="false">IFERROR(SUMIFS(Deployments[failed?],Deployments[Prod],"&gt;="&amp;AC$1,Deployments[Prod],"&lt;"&amp;AD$1)/COUNTIFS(Deployments[Prod],"&gt;="&amp;AC$1,Deployments[Prod],"&lt;"&amp;AD$1),0)</f>
        <v>0</v>
      </c>
      <c r="AE4" s="23" t="n">
        <f aca="false">IFERROR(SUMIFS(Deployments[failed?],Deployments[Prod],"&gt;="&amp;AD$1,Deployments[Prod],"&lt;"&amp;AE$1)/COUNTIFS(Deployments[Prod],"&gt;="&amp;AD$1,Deployments[Prod],"&lt;"&amp;AE$1),0)</f>
        <v>0</v>
      </c>
      <c r="AF4" s="23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0" customFormat="true" ht="13.8" hidden="false" customHeight="false" outlineLevel="0" collapsed="false">
      <c r="A5" s="13" t="s">
        <v>16</v>
      </c>
      <c r="B5" s="13" t="n">
        <f aca="false">AVERAGE(Commits[DaysToRelease])</f>
        <v>5.43103448275862</v>
      </c>
      <c r="C5" s="20" t="s">
        <v>17</v>
      </c>
      <c r="D5" s="20" t="n">
        <f aca="false">B5</f>
        <v>5.43103448275862</v>
      </c>
      <c r="E5" s="24" t="n">
        <f aca="false">IFERROR(AVERAGEIFS(Commits[DaysToRelease], Commits[DateCommit], "&gt;=" &amp; C$1, Commits[DateCommit], "&lt;" &amp; E$1), 0)</f>
        <v>0</v>
      </c>
      <c r="F5" s="24" t="n">
        <f aca="false">IFERROR(AVERAGEIFS(Commits[DaysToRelease], Commits[DateCommit], "&gt;=" &amp; E$1, Commits[DateCommit], "&lt;" &amp; F$1), 0)</f>
        <v>0</v>
      </c>
      <c r="G5" s="24" t="n">
        <f aca="false">IFERROR(AVERAGEIFS(Commits[DaysToRelease], Commits[DateCommit], "&gt;=" &amp; F$1, Commits[DateCommit], "&lt;" &amp; G$1), 0)</f>
        <v>0</v>
      </c>
      <c r="H5" s="24" t="n">
        <f aca="false">IFERROR(AVERAGEIFS(Commits[DaysToRelease], Commits[DateCommit], "&gt;=" &amp; G$1, Commits[DateCommit], "&lt;" &amp; H$1), 0)</f>
        <v>0</v>
      </c>
      <c r="I5" s="24" t="n">
        <f aca="false">IFERROR(AVERAGEIFS(Commits[DaysToRelease], Commits[DateCommit], "&gt;=" &amp; H$1, Commits[DateCommit], "&lt;" &amp; I$1), 0)</f>
        <v>0</v>
      </c>
      <c r="J5" s="24" t="n">
        <f aca="false">IFERROR(AVERAGEIFS(Commits[DaysToRelease], Commits[DateCommit], "&gt;=" &amp; I$1, Commits[DateCommit], "&lt;" &amp; J$1), 0)</f>
        <v>0</v>
      </c>
      <c r="K5" s="24" t="n">
        <f aca="false">IFERROR(AVERAGEIFS(Commits[DaysToRelease], Commits[DateCommit], "&gt;=" &amp; J$1, Commits[DateCommit], "&lt;" &amp; K$1), 0)</f>
        <v>0</v>
      </c>
      <c r="L5" s="24" t="n">
        <v>0.1</v>
      </c>
      <c r="M5" s="24" t="n">
        <f aca="false">IFERROR(AVERAGEIFS(Commits[DaysToRelease], Commits[DateCommit], "&gt;=" &amp; L$1, Commits[DateCommit], "&lt;" &amp; M$1), 0)</f>
        <v>0</v>
      </c>
      <c r="N5" s="24" t="n">
        <f aca="false">IFERROR(AVERAGEIFS(Commits[DaysToRelease], Commits[DateCommit], "&gt;=" &amp; M$1, Commits[DateCommit], "&lt;" &amp; N$1), 0)</f>
        <v>1.4</v>
      </c>
      <c r="O5" s="24" t="n">
        <f aca="false">IFERROR(AVERAGEIFS(Commits[DaysToRelease], Commits[DateCommit], "&gt;=" &amp; N$1, Commits[DateCommit], "&lt;" &amp; O$1), 0)</f>
        <v>3.52941176470588</v>
      </c>
      <c r="P5" s="24" t="n">
        <f aca="false">IFERROR(AVERAGEIFS(Commits[DaysToRelease], Commits[DateCommit], "&gt;=" &amp; O$1, Commits[DateCommit], "&lt;" &amp; P$1), 0)</f>
        <v>1</v>
      </c>
      <c r="Q5" s="24" t="n">
        <f aca="false">IFERROR(AVERAGEIFS(Commits[DaysToRelease], Commits[DateCommit], "&gt;=" &amp; P$1, Commits[DateCommit], "&lt;" &amp; Q$1), 0)</f>
        <v>16.2</v>
      </c>
      <c r="R5" s="24" t="n">
        <f aca="false">IFERROR(AVERAGEIFS(Commits[DaysToRelease], Commits[DateCommit], "&gt;=" &amp; Q$1, Commits[DateCommit], "&lt;" &amp; R$1), 0)</f>
        <v>1</v>
      </c>
      <c r="S5" s="24" t="n">
        <f aca="false">IFERROR(AVERAGEIFS(Commits[DaysToRelease], Commits[DateCommit], "&gt;=" &amp; R$1, Commits[DateCommit], "&lt;" &amp; S$1), 0)</f>
        <v>2.85714285714286</v>
      </c>
      <c r="T5" s="24" t="n">
        <f aca="false">IFERROR(AVERAGEIFS(Commits[DaysToRelease], Commits[DateCommit], "&gt;=" &amp; S$1, Commits[DateCommit], "&lt;" &amp; T$1), 0)</f>
        <v>3</v>
      </c>
      <c r="U5" s="24" t="n">
        <f aca="false">IFERROR(AVERAGEIFS(Commits[DaysToRelease], Commits[DateCommit], "&gt;=" &amp; T$1, Commits[DateCommit], "&lt;" &amp; U$1), 0)</f>
        <v>0</v>
      </c>
      <c r="V5" s="24" t="n">
        <f aca="false">IFERROR(AVERAGEIFS(Commits[DaysToRelease], Commits[DateCommit], "&gt;=" &amp; U$1, Commits[DateCommit], "&lt;" &amp; V$1), 0)</f>
        <v>0</v>
      </c>
      <c r="W5" s="24" t="n">
        <f aca="false">IFERROR(AVERAGEIFS(Commits[DaysToRelease], Commits[DateCommit], "&gt;=" &amp; V$1, Commits[DateCommit], "&lt;" &amp; W$1), 0)</f>
        <v>0</v>
      </c>
      <c r="X5" s="24" t="n">
        <f aca="false">IFERROR(AVERAGEIFS(Commits[DaysToRelease], Commits[DateCommit], "&gt;=" &amp; W$1, Commits[DateCommit], "&lt;" &amp; X$1), 0)</f>
        <v>0</v>
      </c>
      <c r="Y5" s="24" t="n">
        <f aca="false">IFERROR(AVERAGEIFS(Commits[DaysToRelease], Commits[DateCommit], "&gt;=" &amp; X$1, Commits[DateCommit], "&lt;" &amp; Y$1), 0)</f>
        <v>0</v>
      </c>
      <c r="Z5" s="24" t="n">
        <f aca="false">IFERROR(AVERAGEIFS(Commits[DaysToRelease], Commits[DateCommit], "&gt;=" &amp; Y$1, Commits[DateCommit], "&lt;" &amp; Z$1), 0)</f>
        <v>0</v>
      </c>
      <c r="AA5" s="24" t="n">
        <f aca="false">IFERROR(AVERAGEIFS(Commits[DaysToRelease], Commits[DateCommit], "&gt;=" &amp; Z$1, Commits[DateCommit], "&lt;" &amp; AA$1), 0)</f>
        <v>0</v>
      </c>
      <c r="AB5" s="24" t="n">
        <f aca="false">IFERROR(AVERAGEIFS(Commits[DaysToRelease], Commits[DateCommit], "&gt;=" &amp; AA$1, Commits[DateCommit], "&lt;" &amp; AB$1), 0)</f>
        <v>0</v>
      </c>
      <c r="AC5" s="24" t="n">
        <f aca="false">IFERROR(AVERAGEIFS(Commits[DaysToRelease], Commits[DateCommit], "&gt;=" &amp; AB$1, Commits[DateCommit], "&lt;" &amp; AC$1), 0)</f>
        <v>0</v>
      </c>
      <c r="AD5" s="24" t="n">
        <f aca="false">IFERROR(AVERAGEIFS(Commits[DaysToRelease], Commits[DateCommit], "&gt;=" &amp; AC$1, Commits[DateCommit], "&lt;" &amp; AD$1), 0)</f>
        <v>0</v>
      </c>
      <c r="AE5" s="24" t="n">
        <f aca="false">IFERROR(AVERAGEIFS(Commits[DaysToRelease], Commits[DateCommit], "&gt;=" &amp; AD$1, Commits[DateCommit], "&lt;" &amp; AE$1), 0)</f>
        <v>0</v>
      </c>
      <c r="AF5" s="24" t="n">
        <f aca="false">IFERROR(AVERAGEIFS(Commits[DaysToRelease], Commits[DateCommit], "&gt;=" &amp; AE$1, Commits[DateCommit], "&lt;" &amp; AF$1), 0)</f>
        <v>0</v>
      </c>
      <c r="XFD5" s="24" t="e">
        <f aca="false">AVERAGEIFS(Commits[DaysToRelease], Commits[DateCommit], "&gt;=" &amp; XFC$1, Commits[DateCommit], "&lt;" &amp; XFD$1)</f>
        <v>#DIV/0!</v>
      </c>
    </row>
    <row r="6" customFormat="false" ht="13.8" hidden="false" customHeight="false" outlineLevel="0" collapsed="false">
      <c r="A6" s="21" t="s">
        <v>18</v>
      </c>
      <c r="B6" s="21" t="n">
        <f aca="false">AVERAGE(Issues[DaysToRelease])</f>
        <v>0.444444444444444</v>
      </c>
      <c r="C6" s="0" t="s">
        <v>19</v>
      </c>
      <c r="D6" s="20" t="n">
        <f aca="false">AVERAGEIF(E6:AF6,"&gt;0")</f>
        <v>0.375</v>
      </c>
      <c r="E6" s="24" t="n">
        <f aca="false">IFERROR(AVERAGEIFS(Issues[DaysToRelease], Issues[ReleaseDate], "&gt;=" &amp; C$1, Issues[ReleaseDate], "&lt;" &amp; E$1), 0)</f>
        <v>0</v>
      </c>
      <c r="F6" s="24" t="n">
        <f aca="false">IFERROR(AVERAGEIFS(Issues[DaysToRelease], Issues[ReleaseDate], "&gt;=" &amp; E$1, Issues[ReleaseDate], "&lt;" &amp; F$1), 0)</f>
        <v>0</v>
      </c>
      <c r="G6" s="24" t="n">
        <f aca="false">IFERROR(AVERAGEIFS(Issues[DaysToRelease], Issues[ReleaseDate], "&gt;=" &amp; F$1, Issues[ReleaseDate], "&lt;" &amp; G$1), 0)</f>
        <v>0</v>
      </c>
      <c r="H6" s="24" t="n">
        <f aca="false">IFERROR(AVERAGEIFS(Issues[DaysToRelease], Issues[ReleaseDate], "&gt;=" &amp; G$1, Issues[ReleaseDate], "&lt;" &amp; H$1), 0)</f>
        <v>0</v>
      </c>
      <c r="I6" s="24" t="n">
        <f aca="false">IFERROR(AVERAGEIFS(Issues[DaysToRelease], Issues[ReleaseDate], "&gt;=" &amp; H$1, Issues[ReleaseDate], "&lt;" &amp; I$1), 0)</f>
        <v>0</v>
      </c>
      <c r="J6" s="24" t="n">
        <f aca="false">IFERROR(AVERAGEIFS(Issues[DaysToRelease], Issues[ReleaseDate], "&gt;=" &amp; I$1, Issues[ReleaseDate], "&lt;" &amp; J$1), 0)</f>
        <v>0</v>
      </c>
      <c r="K6" s="24" t="n">
        <f aca="false">IFERROR(AVERAGEIFS(Issues[DaysToRelease], Issues[ReleaseDate], "&gt;=" &amp; J$1, Issues[ReleaseDate], "&lt;" &amp; K$1), 0)</f>
        <v>0</v>
      </c>
      <c r="L6" s="24" t="n">
        <f aca="false">IFERROR(AVERAGEIFS(Issues[DaysToRelease], Issues[ReleaseDate], "&gt;=" &amp; K$1, Issues[ReleaseDate], "&lt;" &amp; L$1), 0)</f>
        <v>0</v>
      </c>
      <c r="M6" s="24" t="n">
        <f aca="false">IFERROR(AVERAGEIFS(Issues[DaysToRelease], Issues[ReleaseDate], "&gt;=" &amp; L$1, Issues[ReleaseDate], "&lt;" &amp; M$1), 0)</f>
        <v>0</v>
      </c>
      <c r="N6" s="24" t="n">
        <f aca="false">IFERROR(AVERAGEIFS(Issues[DaysToRelease], Issues[ReleaseDate], "&gt;=" &amp; M$1, Issues[ReleaseDate], "&lt;" &amp; N$1), 0)</f>
        <v>0</v>
      </c>
      <c r="O6" s="24" t="n">
        <f aca="false">IFERROR(AVERAGEIFS(Issues[DaysToRelease], Issues[ReleaseDate], "&gt;=" &amp; N$1, Issues[ReleaseDate], "&lt;" &amp; O$1), 0)</f>
        <v>0</v>
      </c>
      <c r="P6" s="24" t="n">
        <f aca="false">IFERROR(AVERAGEIFS(Issues[DaysToRelease], Issues[ReleaseDate], "&gt;=" &amp; O$1, Issues[ReleaseDate], "&lt;" &amp; P$1), 0)</f>
        <v>0</v>
      </c>
      <c r="Q6" s="24" t="n">
        <f aca="false">IFERROR(AVERAGEIFS(Issues[DaysToRelease], Issues[ReleaseDate], "&gt;=" &amp; P$1, Issues[ReleaseDate], "&lt;" &amp; Q$1), 0)</f>
        <v>0</v>
      </c>
      <c r="R6" s="24" t="n">
        <f aca="false">IFERROR(AVERAGEIFS(Issues[DaysToRelease], Issues[ReleaseDate], "&gt;=" &amp; Q$1, Issues[ReleaseDate], "&lt;" &amp; R$1), 0)</f>
        <v>0</v>
      </c>
      <c r="S6" s="24" t="n">
        <f aca="false">IFERROR(AVERAGEIFS(Issues[DaysToRelease], Issues[ReleaseDate], "&gt;=" &amp; R$1, Issues[ReleaseDate], "&lt;" &amp; S$1), 0)</f>
        <v>0.25</v>
      </c>
      <c r="T6" s="24" t="n">
        <f aca="false">IFERROR(AVERAGEIFS(Issues[DaysToRelease], Issues[ReleaseDate], "&gt;=" &amp; S$1, Issues[ReleaseDate], "&lt;" &amp; T$1), 0)</f>
        <v>0.5</v>
      </c>
      <c r="U6" s="24" t="n">
        <f aca="false">IFERROR(AVERAGEIFS(Issues[DaysToRelease], Issues[ReleaseDate], "&gt;=" &amp; T$1, Issues[ReleaseDate], "&lt;" &amp; U$1), 0)</f>
        <v>0</v>
      </c>
      <c r="V6" s="24" t="n">
        <f aca="false">IFERROR(AVERAGEIFS(Issues[DaysToRelease], Issues[ReleaseDate], "&gt;=" &amp; U$1, Issues[ReleaseDate], "&lt;" &amp; V$1), 0)</f>
        <v>0</v>
      </c>
      <c r="W6" s="24" t="n">
        <f aca="false">IFERROR(AVERAGEIFS(Issues[DaysToRelease], Issues[ReleaseDate], "&gt;=" &amp; V$1, Issues[ReleaseDate], "&lt;" &amp; W$1), 0)</f>
        <v>0</v>
      </c>
      <c r="X6" s="24" t="n">
        <f aca="false">IFERROR(AVERAGEIFS(Issues[DaysToRelease], Issues[ReleaseDate], "&gt;=" &amp; W$1, Issues[ReleaseDate], "&lt;" &amp; X$1), 0)</f>
        <v>0</v>
      </c>
      <c r="Y6" s="24" t="n">
        <f aca="false">IFERROR(AVERAGEIFS(Issues[DaysToRelease], Issues[ReleaseDate], "&gt;=" &amp; X$1, Issues[ReleaseDate], "&lt;" &amp; Y$1), 0)</f>
        <v>0</v>
      </c>
      <c r="Z6" s="24" t="n">
        <f aca="false">IFERROR(AVERAGEIFS(Issues[DaysToRelease], Issues[ReleaseDate], "&gt;=" &amp; Y$1, Issues[ReleaseDate], "&lt;" &amp; Z$1), 0)</f>
        <v>0</v>
      </c>
      <c r="AA6" s="24" t="n">
        <f aca="false">IFERROR(AVERAGEIFS(Issues[DaysToRelease], Issues[ReleaseDate], "&gt;=" &amp; Z$1, Issues[ReleaseDate], "&lt;" &amp; AA$1), 0)</f>
        <v>0</v>
      </c>
      <c r="AB6" s="24" t="n">
        <f aca="false">IFERROR(AVERAGEIFS(Issues[DaysToRelease], Issues[ReleaseDate], "&gt;=" &amp; AA$1, Issues[ReleaseDate], "&lt;" &amp; AB$1), 0)</f>
        <v>0</v>
      </c>
      <c r="AC6" s="24" t="n">
        <f aca="false">IFERROR(AVERAGEIFS(Issues[DaysToRelease], Issues[ReleaseDate], "&gt;=" &amp; AB$1, Issues[ReleaseDate], "&lt;" &amp; AC$1), 0)</f>
        <v>0</v>
      </c>
      <c r="AD6" s="24" t="n">
        <f aca="false">IFERROR(AVERAGEIFS(Issues[DaysToRelease], Issues[ReleaseDate], "&gt;=" &amp; AC$1, Issues[ReleaseDate], "&lt;" &amp; AD$1), 0)</f>
        <v>0</v>
      </c>
      <c r="AE6" s="24" t="n">
        <f aca="false">IFERROR(AVERAGEIFS(Issues[DaysToRelease], Issues[ReleaseDate], "&gt;=" &amp; AD$1, Issues[ReleaseDate], "&lt;" &amp; AE$1), 0)</f>
        <v>0</v>
      </c>
      <c r="AF6" s="24" t="n">
        <f aca="false">IFERROR(AVERAGEIFS(Issues[DaysToRelease], Issues[ReleaseDate], "&gt;=" &amp; AE$1, Issues[ReleaseDate], "&lt;" &amp; AF$1), 0)</f>
        <v>0</v>
      </c>
    </row>
    <row r="7" customFormat="false" ht="13.8" hidden="false" customHeight="false" outlineLevel="0" collapsed="false">
      <c r="A7" s="21"/>
      <c r="B7" s="21"/>
    </row>
    <row r="8" customFormat="false" ht="13.8" hidden="false" customHeight="false" outlineLevel="0" collapsed="false">
      <c r="A8" s="21"/>
      <c r="B8" s="21"/>
    </row>
    <row r="9" customFormat="false" ht="13.8" hidden="false" customHeight="false" outlineLevel="0" collapsed="false">
      <c r="A9" s="21"/>
      <c r="B9" s="21"/>
    </row>
    <row r="10" customFormat="false" ht="13.8" hidden="false" customHeight="false" outlineLevel="0" collapsed="false">
      <c r="A10" s="21"/>
      <c r="B10" s="21"/>
    </row>
    <row r="11" customFormat="false" ht="13.8" hidden="false" customHeight="false" outlineLevel="0" collapsed="false">
      <c r="A11" s="21"/>
      <c r="B11" s="21"/>
    </row>
    <row r="12" customFormat="false" ht="13.8" hidden="false" customHeight="false" outlineLevel="0" collapsed="false">
      <c r="C12" s="0" t="s">
        <v>20</v>
      </c>
    </row>
    <row r="38" customFormat="false" ht="13.8" hidden="false" customHeight="false" outlineLevel="0" collapsed="false">
      <c r="A38" s="0" t="s">
        <v>23</v>
      </c>
      <c r="D38" s="0" t="n">
        <f aca="false">SUM(E38:AF38)</f>
        <v>31.9880952380952</v>
      </c>
      <c r="E38" s="0" t="n">
        <f aca="false">IFERROR(30/E3,0)</f>
        <v>0</v>
      </c>
      <c r="F38" s="0" t="n">
        <f aca="false">IFERROR(30/F3,0)</f>
        <v>0</v>
      </c>
      <c r="G38" s="0" t="n">
        <f aca="false">IFERROR(30/G3,0)</f>
        <v>0</v>
      </c>
      <c r="H38" s="0" t="n">
        <f aca="false">IFERROR(30/H3,0)</f>
        <v>0</v>
      </c>
      <c r="I38" s="0" t="n">
        <f aca="false">IFERROR(30/I3,0)</f>
        <v>0</v>
      </c>
      <c r="J38" s="0" t="n">
        <f aca="false">IFERROR(30/J3,0)</f>
        <v>0</v>
      </c>
      <c r="K38" s="0" t="n">
        <f aca="false">IFERROR(30/K3,0)</f>
        <v>0</v>
      </c>
      <c r="L38" s="0" t="n">
        <f aca="false">IFERROR(30/L3,0)</f>
        <v>0</v>
      </c>
      <c r="M38" s="0" t="n">
        <f aca="false">IFERROR(30/M3,0)</f>
        <v>0</v>
      </c>
      <c r="N38" s="0" t="n">
        <f aca="false">IFERROR(30/N3,0)</f>
        <v>7.5</v>
      </c>
      <c r="O38" s="0" t="n">
        <f aca="false">IFERROR(30/O3,0)</f>
        <v>3</v>
      </c>
      <c r="P38" s="0" t="n">
        <f aca="false">IFERROR(30/P3,0)</f>
        <v>1.66666666666667</v>
      </c>
      <c r="Q38" s="0" t="n">
        <f aca="false">IFERROR(30/Q3,0)</f>
        <v>7.5</v>
      </c>
      <c r="R38" s="0" t="n">
        <f aca="false">IFERROR(30/R3,0)</f>
        <v>4.28571428571429</v>
      </c>
      <c r="S38" s="0" t="n">
        <f aca="false">IFERROR(30/S3,0)</f>
        <v>3.75</v>
      </c>
      <c r="T38" s="0" t="n">
        <f aca="false">IFERROR(30/T3,0)</f>
        <v>4.28571428571429</v>
      </c>
      <c r="U38" s="0" t="n">
        <f aca="false">IFERROR(30/U3,0)</f>
        <v>0</v>
      </c>
      <c r="V38" s="0" t="n">
        <f aca="false">IFERROR(30/V3,0)</f>
        <v>0</v>
      </c>
      <c r="W38" s="0" t="n">
        <f aca="false">IFERROR(30/W3,0)</f>
        <v>0</v>
      </c>
      <c r="X38" s="0" t="n">
        <f aca="false">IFERROR(30/X3,0)</f>
        <v>0</v>
      </c>
      <c r="Y38" s="0" t="n">
        <f aca="false">IFERROR(30/Y3,0)</f>
        <v>0</v>
      </c>
      <c r="Z38" s="0" t="n">
        <f aca="false">IFERROR(30/Z3,0)</f>
        <v>0</v>
      </c>
      <c r="AA38" s="0" t="n">
        <f aca="false">IFERROR(30/AA3,0)</f>
        <v>0</v>
      </c>
      <c r="AB38" s="0" t="n">
        <f aca="false">IFERROR(30/AB3,0)</f>
        <v>0</v>
      </c>
      <c r="AC38" s="0" t="n">
        <f aca="false">IFERROR(30/AC3,0)</f>
        <v>0</v>
      </c>
      <c r="AD38" s="0" t="n">
        <f aca="false">IFERROR(30/AD3,0)</f>
        <v>0</v>
      </c>
      <c r="AE38" s="0" t="n">
        <f aca="false">IFERROR(30/AE3,0)</f>
        <v>0</v>
      </c>
      <c r="AF38" s="0" t="n">
        <f aca="false">IFERROR(30/AF3,0)</f>
        <v>0</v>
      </c>
    </row>
    <row r="39" customFormat="false" ht="13.8" hidden="false" customHeight="false" outlineLevel="0" collapsed="false">
      <c r="A39" s="0" t="s">
        <v>24</v>
      </c>
      <c r="D39" s="0" t="n">
        <f aca="false">O4*(30/O3)</f>
        <v>0.3</v>
      </c>
      <c r="E39" s="0" t="n">
        <f aca="false">IFERROR(E4*(30/E3),0)</f>
        <v>0</v>
      </c>
      <c r="F39" s="0" t="n">
        <f aca="false">IFERROR(F4*(30/F3),0)</f>
        <v>0</v>
      </c>
      <c r="G39" s="0" t="n">
        <f aca="false">IFERROR(G4*(30/G3),0)</f>
        <v>0</v>
      </c>
      <c r="H39" s="0" t="n">
        <f aca="false">IFERROR(H4*(30/H3),0)</f>
        <v>0</v>
      </c>
      <c r="I39" s="0" t="n">
        <f aca="false">IFERROR(I4*(30/I3),0)</f>
        <v>0</v>
      </c>
      <c r="J39" s="0" t="n">
        <f aca="false">IFERROR(J4*(30/J3),0)</f>
        <v>0</v>
      </c>
      <c r="K39" s="0" t="n">
        <f aca="false">IFERROR(K4*(30/K3),0)</f>
        <v>0</v>
      </c>
      <c r="L39" s="0" t="n">
        <f aca="false">IFERROR(L4*(30/L3),0)</f>
        <v>0</v>
      </c>
      <c r="M39" s="0" t="n">
        <f aca="false">IFERROR(M4*(30/M3),0)</f>
        <v>0</v>
      </c>
      <c r="N39" s="0" t="n">
        <f aca="false">IFERROR(N4*(30/N3),0)</f>
        <v>0</v>
      </c>
      <c r="O39" s="0" t="n">
        <f aca="false">IFERROR(O4*(30/O3),0)</f>
        <v>0.3</v>
      </c>
      <c r="P39" s="0" t="n">
        <f aca="false">IFERROR(P4*(30/P3),0)</f>
        <v>0.277777777777778</v>
      </c>
      <c r="Q39" s="0" t="n">
        <f aca="false">IFERROR(Q4*(30/Q3),0)</f>
        <v>0</v>
      </c>
      <c r="R39" s="0" t="n">
        <f aca="false">IFERROR(R4*(30/R3),0)</f>
        <v>0</v>
      </c>
      <c r="S39" s="0" t="n">
        <f aca="false">IFERROR(S4*(30/S3),0)</f>
        <v>0</v>
      </c>
      <c r="T39" s="0" t="n">
        <f aca="false">IFERROR(T4*(30/T3),0)</f>
        <v>0</v>
      </c>
      <c r="U39" s="0" t="n">
        <f aca="false">IFERROR(U4*(30/U3),0)</f>
        <v>0</v>
      </c>
      <c r="V39" s="0" t="n">
        <f aca="false">IFERROR(V4*(30/V3),0)</f>
        <v>0</v>
      </c>
      <c r="W39" s="0" t="n">
        <f aca="false">IFERROR(W4*(30/W3),0)</f>
        <v>0</v>
      </c>
      <c r="X39" s="0" t="n">
        <f aca="false">IFERROR(X4*(30/X3),0)</f>
        <v>0</v>
      </c>
      <c r="Y39" s="0" t="n">
        <f aca="false">IFERROR(Y4*(30/Y3),0)</f>
        <v>0</v>
      </c>
      <c r="Z39" s="0" t="n">
        <f aca="false">IFERROR(Z4*(30/Z3),0)</f>
        <v>0</v>
      </c>
      <c r="AA39" s="0" t="n">
        <f aca="false">IFERROR(AA4*(30/AA3),0)</f>
        <v>0</v>
      </c>
      <c r="AB39" s="0" t="n">
        <f aca="false">IFERROR(AB4*(30/AB3),0)</f>
        <v>0</v>
      </c>
      <c r="AC39" s="0" t="n">
        <f aca="false">IFERROR(AC4*(30/AC3),0)</f>
        <v>0</v>
      </c>
      <c r="AD39" s="0" t="n">
        <f aca="false">IFERROR(AD4*(30/AD3),0)</f>
        <v>0</v>
      </c>
      <c r="AE39" s="0" t="n">
        <f aca="false">IFERROR(AE4*(30/AE3),0)</f>
        <v>0</v>
      </c>
      <c r="AF39" s="0" t="n">
        <f aca="false">IFERROR(AF4*(30/AF3),0)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2026-03-02T13:25:40Z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