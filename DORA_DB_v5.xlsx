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ployments" sheetId="1" state="visible" r:id="rId3"/>
    <sheet name="Commits" sheetId="2" state="visible" r:id="rId4"/>
    <sheet name="Issues" sheetId="3" state="visible" r:id="rId5"/>
    <sheet name="DORA" sheetId="4" state="visible" r:id="rId6"/>
    <sheet name="DORA_Manual" sheetId="5" state="visible" r:id="rId7"/>
  </sheets>
  <definedNames>
    <definedName function="false" hidden="true" name="_xlcn.WorksheetConnection_DORA_DB.xlsxCommits" vbProcedure="false">Commits[]</definedName>
    <definedName function="false" hidden="true" name="_xlcn.WorksheetConnection_DORA_DB.xlsxIssues" vbProcedure="false">Issues[]</definedName>
    <definedName function="false" hidden="true" name="_xlcn.WorksheetConnection_DORA_DB.xlsxReleases" vbProcedure="false">Deployments[]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<sst xmlns="http://schemas.openxmlformats.org/spreadsheetml/2006/main" count="39" uniqueCount="25">
  <si>
    <t xml:space="preserve">DeploymentID</t>
  </si>
  <si>
    <t xml:space="preserve">Acc</t>
  </si>
  <si>
    <t xml:space="preserve">Prod</t>
  </si>
  <si>
    <t xml:space="preserve">failed?</t>
  </si>
  <si>
    <t xml:space="preserve">commit id</t>
  </si>
  <si>
    <t xml:space="preserve">DateCommit</t>
  </si>
  <si>
    <t xml:space="preserve">DaysToRelease</t>
  </si>
  <si>
    <t xml:space="preserve">Issue ID</t>
  </si>
  <si>
    <t xml:space="preserve">Report Date</t>
  </si>
  <si>
    <t xml:space="preserve">Fixed-ReleaseID</t>
  </si>
  <si>
    <t xml:space="preserve">ReleaseDate</t>
  </si>
  <si>
    <t xml:space="preserve">Deployment Frequency ACC</t>
  </si>
  <si>
    <t xml:space="preserve">Days Between Releases</t>
  </si>
  <si>
    <t xml:space="preserve">Deployment Frequency PROD</t>
  </si>
  <si>
    <t xml:space="preserve">Change Failure Rate</t>
  </si>
  <si>
    <t xml:space="preserve">Percentage of failed Releases</t>
  </si>
  <si>
    <t xml:space="preserve">Lead Time</t>
  </si>
  <si>
    <t xml:space="preserve">Days from commit to prod</t>
  </si>
  <si>
    <t xml:space="preserve">Mean Time To Recovery</t>
  </si>
  <si>
    <t xml:space="preserve">days</t>
  </si>
  <si>
    <t xml:space="preserve">** Recommended definition</t>
  </si>
  <si>
    <t xml:space="preserve">Automatic</t>
  </si>
  <si>
    <t xml:space="preserve">Manual Total Agerage(aprox)</t>
  </si>
  <si>
    <t xml:space="preserve">Helper row, total releases</t>
  </si>
  <si>
    <t xml:space="preserve">Helper row, total failed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</si>
</sst>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/d/yyyy"/>
    <numFmt numFmtId="166" formatCode="dd/mm/yyyy"/>
    <numFmt numFmtId="167" formatCode="dd/mm/yy;@"/>
    <numFmt numFmtId="168" formatCode="0"/>
    <numFmt numFmtId="169" formatCode="dd/mm/yyyy;@"/>
    <numFmt numFmtId="170" formatCode="0.00"/>
    <numFmt numFmtId="171" formatCode="d/mm/yyyy;@"/>
    <numFmt numFmtId="172" formatCode="dd\.mm\.yy;@"/>
    <numFmt numFmtId="173" formatCode="0.00%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  <font>
      <sz val="9"/>
      <color theme="1"/>
      <name val="Aptos Narrow"/>
      <family val="2"/>
      <charset val="1"/>
    </font>
    <font>
      <sz val="11"/>
      <color rgb="FF242424"/>
      <name val="Cascadia Mono"/>
      <family val="3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sz val="13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  <fill>
      <patternFill patternType="solid">
        <fgColor rgb="FFFFBF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72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1D1D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6C24"/>
      <rgbColor rgb="FF000080"/>
      <rgbColor rgb="FF808000"/>
      <rgbColor rgb="FF800080"/>
      <rgbColor rgb="FF0F9ED5"/>
      <rgbColor rgb="FFB3B3B3"/>
      <rgbColor rgb="FF808080"/>
      <rgbColor rgb="FF9999FF"/>
      <rgbColor rgb="FFA02B93"/>
      <rgbColor rgb="FFFFFFCC"/>
      <rgbColor rgb="FFCCFFFF"/>
      <rgbColor rgb="FF660066"/>
      <rgbColor rgb="FFFF8080"/>
      <rgbColor rgb="FF145F82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E87331"/>
      <rgbColor rgb="FF595959"/>
      <rgbColor rgb="FF969696"/>
      <rgbColor rgb="FF004586"/>
      <rgbColor rgb="FF339966"/>
      <rgbColor rgb="FF003300"/>
      <rgbColor rgb="FF333300"/>
      <rgbColor rgb="FFA85021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"CT"</c:f>
              <c:strCache>
                <c:ptCount val="1"/>
                <c:pt idx="0">
                  <c:v>CT</c:v>
                </c:pt>
              </c:strCache>
            </c:strRef>
          </c:tx>
          <c:spPr>
            <a:solidFill>
              <a:srgbClr val="145f82"/>
            </a:solidFill>
            <a:ln cap="rnd" w="28440">
              <a:solidFill>
                <a:srgbClr val="145f82"/>
              </a:solidFill>
              <a:round/>
            </a:ln>
          </c:spPr>
          <c:marker>
            <c:symbol val="circle"/>
            <c:size val="5"/>
            <c:spPr>
              <a:solidFill>
                <a:srgbClr val="145f8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DORA!$E$2:$AF$2</c:f>
              <c:numCache>
                <c:formatCode>0.00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"Frq PROD"</c:f>
              <c:strCache>
                <c:ptCount val="1"/>
                <c:pt idx="0">
                  <c:v>Frq PROD</c:v>
                </c:pt>
              </c:strCache>
            </c:strRef>
          </c:tx>
          <c:spPr>
            <a:solidFill>
              <a:srgbClr val="e87331"/>
            </a:solidFill>
            <a:ln cap="rnd" w="28440">
              <a:solidFill>
                <a:srgbClr val="e87331"/>
              </a:solidFill>
              <a:round/>
            </a:ln>
          </c:spPr>
          <c:marker>
            <c:symbol val="circle"/>
            <c:size val="5"/>
            <c:spPr>
              <a:solidFill>
                <a:srgbClr val="e873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DORA!$E$3:$AF$3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"Frq ACC"</c:f>
              <c:strCache>
                <c:ptCount val="1"/>
                <c:pt idx="0">
                  <c:v>Frq ACC</c:v>
                </c:pt>
              </c:strCache>
            </c:strRef>
          </c:tx>
          <c:spPr>
            <a:solidFill>
              <a:srgbClr val="186c24"/>
            </a:solidFill>
            <a:ln cap="rnd" w="28440">
              <a:solidFill>
                <a:srgbClr val="186c24"/>
              </a:solidFill>
              <a:round/>
            </a:ln>
          </c:spPr>
          <c:marker>
            <c:symbol val="circle"/>
            <c:size val="5"/>
            <c:spPr>
              <a:solidFill>
                <a:srgbClr val="186c2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DORA!$E$4:$AF$4</c:f>
              <c:numCache>
                <c:formatCode>0.00%</c:formatCode>
                <c:ptCount val="28"/>
                <c:pt idx="0">
                  <c:v>0.0227272727272727</c:v>
                </c:pt>
                <c:pt idx="1">
                  <c:v>0.0229885057471264</c:v>
                </c:pt>
                <c:pt idx="2">
                  <c:v>0.0344827586206897</c:v>
                </c:pt>
                <c:pt idx="3">
                  <c:v>0.0229885057471264</c:v>
                </c:pt>
                <c:pt idx="4">
                  <c:v>0.010989010989011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"Failure Rate"</c:f>
              <c:strCache>
                <c:ptCount val="1"/>
                <c:pt idx="0">
                  <c:v>Failure Rate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DORA!$E$5:$AF$5</c:f>
              <c:numCache>
                <c:formatCode>0.00</c:formatCode>
                <c:ptCount val="28"/>
                <c:pt idx="0">
                  <c:v>0.4</c:v>
                </c:pt>
                <c:pt idx="1">
                  <c:v>0.458823529411765</c:v>
                </c:pt>
                <c:pt idx="2">
                  <c:v>0.392857142857143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"MTTR"</c:f>
              <c:strCache>
                <c:ptCount val="1"/>
                <c:pt idx="0">
                  <c:v>MTTR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DORA!$E$6:$AF$6</c:f>
              <c:numCache>
                <c:formatCode>0.00</c:formatCode>
                <c:ptCount val="28"/>
                <c:pt idx="0">
                  <c:v>1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2748555"/>
        <c:axId val="45157178"/>
      </c:lineChart>
      <c:dateAx>
        <c:axId val="12748555"/>
        <c:scaling>
          <c:orientation val="minMax"/>
        </c:scaling>
        <c:delete val="0"/>
        <c:axPos val="b"/>
        <c:numFmt formatCode="dd\.mm\.yy;@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45157178"/>
        <c:crosses val="autoZero"/>
        <c:auto val="1"/>
        <c:lblOffset val="100"/>
        <c:baseTimeUnit val="months"/>
      </c:dateAx>
      <c:valAx>
        <c:axId val="4515717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127485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Failed Releases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uFillTx/>
                <a:latin typeface="Arial"/>
              </a:rPr>
              <a:t>Percentage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e873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DORA_Manual!$O$1:$U$1</c:f>
              <c:strCache>
                <c:ptCount val="7"/>
                <c:pt idx="0">
                  <c:v>01.10.25</c:v>
                </c:pt>
                <c:pt idx="1">
                  <c:v>01.11.25</c:v>
                </c:pt>
                <c:pt idx="2">
                  <c:v>01.12.25</c:v>
                </c:pt>
                <c:pt idx="3">
                  <c:v>01.01.26</c:v>
                </c:pt>
                <c:pt idx="4">
                  <c:v>01.02.26</c:v>
                </c:pt>
                <c:pt idx="5">
                  <c:v>01.03.26</c:v>
                </c:pt>
                <c:pt idx="6">
                  <c:v>01.04.26</c:v>
                </c:pt>
              </c:strCache>
            </c:strRef>
          </c:cat>
          <c:val>
            <c:numRef>
              <c:f>DORA_Manual!$O$4:$U$4</c:f>
              <c:numCache>
                <c:formatCode>0.00%</c:formatCode>
                <c:ptCount val="7"/>
                <c:pt idx="0">
                  <c:v>0.0227272727272727</c:v>
                </c:pt>
                <c:pt idx="1">
                  <c:v>0</c:v>
                </c:pt>
                <c:pt idx="2">
                  <c:v>0.3</c:v>
                </c:pt>
                <c:pt idx="3">
                  <c:v>0.1</c:v>
                </c:pt>
                <c:pt idx="4">
                  <c:v>0.5</c:v>
                </c:pt>
                <c:pt idx="5">
                  <c:v>0.05</c:v>
                </c:pt>
                <c:pt idx="6">
                  <c:v>0</c:v>
                </c:pt>
              </c:numCache>
            </c:numRef>
          </c:val>
        </c:ser>
        <c:gapWidth val="100"/>
        <c:overlap val="0"/>
        <c:axId val="28863367"/>
        <c:axId val="4799209"/>
      </c:barChart>
      <c:catAx>
        <c:axId val="28863367"/>
        <c:scaling>
          <c:orientation val="minMax"/>
        </c:scaling>
        <c:delete val="0"/>
        <c:axPos val="b"/>
        <c:numFmt formatCode="dd\.mm\.yy;@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799209"/>
        <c:crosses val="autoZero"/>
        <c:auto val="1"/>
        <c:lblAlgn val="ctr"/>
        <c:lblOffset val="100"/>
        <c:noMultiLvlLbl val="0"/>
      </c:catAx>
      <c:valAx>
        <c:axId val="47992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886336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Release Frequency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uFillTx/>
                <a:latin typeface="Arial"/>
              </a:rPr>
              <a:t>Days Between Releases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DORA_Manual!$O$1:$T$1</c:f>
              <c:strCache>
                <c:ptCount val="6"/>
                <c:pt idx="0">
                  <c:v>01.10.25</c:v>
                </c:pt>
                <c:pt idx="1">
                  <c:v>01.11.25</c:v>
                </c:pt>
                <c:pt idx="2">
                  <c:v>01.12.25</c:v>
                </c:pt>
                <c:pt idx="3">
                  <c:v>01.01.26</c:v>
                </c:pt>
                <c:pt idx="4">
                  <c:v>01.02.26</c:v>
                </c:pt>
                <c:pt idx="5">
                  <c:v>01.03.26</c:v>
                </c:pt>
              </c:strCache>
            </c:strRef>
          </c:cat>
          <c:val>
            <c:numRef>
              <c:f>DORA_Manual!$O$2:$T$2</c:f>
              <c:numCache>
                <c:formatCode>0.00</c:formatCode>
                <c:ptCount val="6"/>
                <c:pt idx="0">
                  <c:v>88</c:v>
                </c:pt>
                <c:pt idx="1">
                  <c:v>20</c:v>
                </c:pt>
                <c:pt idx="2">
                  <c:v>7</c:v>
                </c:pt>
                <c:pt idx="3">
                  <c:v>5</c:v>
                </c:pt>
                <c:pt idx="4">
                  <c:v>5</c:v>
                </c:pt>
                <c:pt idx="5">
                  <c:v>10</c:v>
                </c:pt>
              </c:numCache>
            </c:numRef>
          </c:val>
        </c:ser>
        <c:axId val="20232660"/>
        <c:axId val="70295224"/>
      </c:areaChart>
      <c:catAx>
        <c:axId val="20232660"/>
        <c:scaling>
          <c:orientation val="minMax"/>
        </c:scaling>
        <c:delete val="0"/>
        <c:axPos val="b"/>
        <c:numFmt formatCode="dd\.mm\.yy;@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0295224"/>
        <c:crosses val="autoZero"/>
        <c:auto val="1"/>
        <c:lblAlgn val="ctr"/>
        <c:lblOffset val="100"/>
        <c:noMultiLvlLbl val="0"/>
      </c:catAx>
      <c:valAx>
        <c:axId val="702952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023266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Lead Time for Changes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uFillTx/>
                <a:latin typeface="Arial"/>
              </a:rPr>
              <a:t>Days from commit to production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a85021"/>
            </a:solidFill>
            <a:ln w="28800">
              <a:solidFill>
                <a:srgbClr val="a85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DORA_Manual!$O$1:$T$1</c:f>
              <c:strCache>
                <c:ptCount val="6"/>
                <c:pt idx="0">
                  <c:v>01.10.25</c:v>
                </c:pt>
                <c:pt idx="1">
                  <c:v>01.11.25</c:v>
                </c:pt>
                <c:pt idx="2">
                  <c:v>01.12.25</c:v>
                </c:pt>
                <c:pt idx="3">
                  <c:v>01.01.26</c:v>
                </c:pt>
                <c:pt idx="4">
                  <c:v>01.02.26</c:v>
                </c:pt>
                <c:pt idx="5">
                  <c:v>01.03.26</c:v>
                </c:pt>
              </c:strCache>
            </c:strRef>
          </c:cat>
          <c:val>
            <c:numRef>
              <c:f>DORA_Manual!$O$5:$T$5</c:f>
              <c:numCache>
                <c:formatCode>0.00</c:formatCode>
                <c:ptCount val="6"/>
                <c:pt idx="0">
                  <c:v>100</c:v>
                </c:pt>
                <c:pt idx="1">
                  <c:v>48</c:v>
                </c:pt>
                <c:pt idx="2">
                  <c:v>10</c:v>
                </c:pt>
                <c:pt idx="3">
                  <c:v>15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768723"/>
        <c:axId val="44840300"/>
      </c:lineChart>
      <c:catAx>
        <c:axId val="95768723"/>
        <c:scaling>
          <c:orientation val="minMax"/>
        </c:scaling>
        <c:delete val="0"/>
        <c:axPos val="b"/>
        <c:numFmt formatCode="dd\.mm\.yy;@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4840300"/>
        <c:crosses val="autoZero"/>
        <c:auto val="1"/>
        <c:lblAlgn val="ctr"/>
        <c:lblOffset val="100"/>
        <c:noMultiLvlLbl val="0"/>
      </c:catAx>
      <c:valAx>
        <c:axId val="448403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576872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Mean Time To Recover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uFillTx/>
                <a:latin typeface="Arial"/>
              </a:rPr>
              <a:t>in days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DORA_Manual!$O$1:$T$1</c:f>
              <c:strCache>
                <c:ptCount val="6"/>
                <c:pt idx="0">
                  <c:v>01.10.25</c:v>
                </c:pt>
                <c:pt idx="1">
                  <c:v>01.11.25</c:v>
                </c:pt>
                <c:pt idx="2">
                  <c:v>01.12.25</c:v>
                </c:pt>
                <c:pt idx="3">
                  <c:v>01.01.26</c:v>
                </c:pt>
                <c:pt idx="4">
                  <c:v>01.02.26</c:v>
                </c:pt>
                <c:pt idx="5">
                  <c:v>01.03.26</c:v>
                </c:pt>
              </c:strCache>
            </c:strRef>
          </c:cat>
          <c:val>
            <c:numRef>
              <c:f>DORA_Manual!$O$6:$T$6</c:f>
              <c:numCache>
                <c:formatCode>0.00</c:formatCode>
                <c:ptCount val="6"/>
                <c:pt idx="0">
                  <c:v>1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</c:v>
                </c:pt>
              </c:numCache>
            </c:numRef>
          </c:val>
        </c:ser>
        <c:gapWidth val="100"/>
        <c:overlap val="0"/>
        <c:axId val="5149564"/>
        <c:axId val="14912667"/>
      </c:barChart>
      <c:catAx>
        <c:axId val="5149564"/>
        <c:scaling>
          <c:orientation val="minMax"/>
        </c:scaling>
        <c:delete val="0"/>
        <c:axPos val="b"/>
        <c:numFmt formatCode="dd\.mm\.yy;@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4912667"/>
        <c:crosses val="autoZero"/>
        <c:auto val="1"/>
        <c:lblAlgn val="ctr"/>
        <c:lblOffset val="100"/>
        <c:noMultiLvlLbl val="0"/>
      </c:catAx>
      <c:valAx>
        <c:axId val="149126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14956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209520</xdr:colOff>
      <xdr:row>7</xdr:row>
      <xdr:rowOff>9360</xdr:rowOff>
    </xdr:from>
    <xdr:to>
      <xdr:col>27</xdr:col>
      <xdr:colOff>513360</xdr:colOff>
      <xdr:row>21</xdr:row>
      <xdr:rowOff>84600</xdr:rowOff>
    </xdr:to>
    <xdr:graphicFrame>
      <xdr:nvGraphicFramePr>
        <xdr:cNvPr id="1" name="Chart 1"/>
        <xdr:cNvGraphicFramePr/>
      </xdr:nvGraphicFramePr>
      <xdr:xfrm>
        <a:off x="18493560" y="1342800"/>
        <a:ext cx="511776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69840</xdr:colOff>
      <xdr:row>13</xdr:row>
      <xdr:rowOff>0</xdr:rowOff>
    </xdr:from>
    <xdr:to>
      <xdr:col>18</xdr:col>
      <xdr:colOff>540000</xdr:colOff>
      <xdr:row>31</xdr:row>
      <xdr:rowOff>84600</xdr:rowOff>
    </xdr:to>
    <xdr:graphicFrame>
      <xdr:nvGraphicFramePr>
        <xdr:cNvPr id="2" name=""/>
        <xdr:cNvGraphicFramePr/>
      </xdr:nvGraphicFramePr>
      <xdr:xfrm>
        <a:off x="12785040" y="2232720"/>
        <a:ext cx="576036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3240</xdr:colOff>
      <xdr:row>13</xdr:row>
      <xdr:rowOff>49320</xdr:rowOff>
    </xdr:from>
    <xdr:to>
      <xdr:col>10</xdr:col>
      <xdr:colOff>638640</xdr:colOff>
      <xdr:row>31</xdr:row>
      <xdr:rowOff>134280</xdr:rowOff>
    </xdr:to>
    <xdr:graphicFrame>
      <xdr:nvGraphicFramePr>
        <xdr:cNvPr id="3" name=""/>
        <xdr:cNvGraphicFramePr/>
      </xdr:nvGraphicFramePr>
      <xdr:xfrm>
        <a:off x="6668280" y="2282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390240</xdr:colOff>
      <xdr:row>13</xdr:row>
      <xdr:rowOff>32040</xdr:rowOff>
    </xdr:from>
    <xdr:to>
      <xdr:col>27</xdr:col>
      <xdr:colOff>648000</xdr:colOff>
      <xdr:row>31</xdr:row>
      <xdr:rowOff>117000</xdr:rowOff>
    </xdr:to>
    <xdr:graphicFrame>
      <xdr:nvGraphicFramePr>
        <xdr:cNvPr id="4" name=""/>
        <xdr:cNvGraphicFramePr/>
      </xdr:nvGraphicFramePr>
      <xdr:xfrm>
        <a:off x="19083240" y="2264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28</xdr:col>
      <xdr:colOff>547200</xdr:colOff>
      <xdr:row>12</xdr:row>
      <xdr:rowOff>168480</xdr:rowOff>
    </xdr:from>
    <xdr:to>
      <xdr:col>37</xdr:col>
      <xdr:colOff>117360</xdr:colOff>
      <xdr:row>31</xdr:row>
      <xdr:rowOff>78120</xdr:rowOff>
    </xdr:to>
    <xdr:graphicFrame>
      <xdr:nvGraphicFramePr>
        <xdr:cNvPr id="5" name=""/>
        <xdr:cNvGraphicFramePr/>
      </xdr:nvGraphicFramePr>
      <xdr:xfrm>
        <a:off x="25429680" y="2225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mmits" displayName="Commits" ref="A1:D201" headerRowCount="1" totalsRowCount="0" totalsRowShown="0">
  <autoFilter ref="A1:D201"/>
  <tableColumns count="4">
    <tableColumn id="1" name="commit id"/>
    <tableColumn id="2" name="DateCommit"/>
    <tableColumn id="3" name="DeploymentID"/>
    <tableColumn id="4" name="DaysToRelease"/>
  </tableColumns>
</table>
</file>

<file path=xl/tables/table2.xml><?xml version="1.0" encoding="utf-8"?>
<table xmlns="http://schemas.openxmlformats.org/spreadsheetml/2006/main" id="2" name="Deployments" displayName="Deployments" ref="A1:D521" headerRowCount="1" totalsRowCount="0" totalsRowShown="0">
  <autoFilter ref="A1:D521"/>
  <tableColumns count="4">
    <tableColumn id="1" name="DeploymentID"/>
    <tableColumn id="2" name="Acc"/>
    <tableColumn id="3" name="Prod"/>
    <tableColumn id="4" name="failed?"/>
  </tableColumns>
</table>
</file>

<file path=xl/tables/table3.xml><?xml version="1.0" encoding="utf-8"?>
<table xmlns="http://schemas.openxmlformats.org/spreadsheetml/2006/main" id="3" name="Issues" displayName="Issues" ref="A1:E15" headerRowCount="1" totalsRowCount="0" totalsRowShown="0">
  <autoFilter ref="A1:E15"/>
  <tableColumns count="5">
    <tableColumn id="1" name="Issue ID"/>
    <tableColumn id="2" name="Report Date"/>
    <tableColumn id="3" name="Fixed-ReleaseID"/>
    <tableColumn id="4" name="DaysToRelease"/>
    <tableColumn id="5" name="Release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1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E22" activeCellId="0" sqref="E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6.86"/>
    <col collapsed="false" customWidth="true" hidden="false" outlineLevel="0" max="2" min="2" style="2" width="13.86"/>
    <col collapsed="false" customWidth="true" hidden="false" outlineLevel="0" max="3" min="3" style="2" width="14.43"/>
    <col collapsed="false" customWidth="true" hidden="false" outlineLevel="0" max="4" min="4" style="1" width="9.43"/>
  </cols>
  <sheetData>
    <row r="1" customFormat="false" ht="15" hidden="false" customHeight="true" outlineLevel="0" collapsed="false">
      <c r="A1" s="3" t="s">
        <v>0</v>
      </c>
      <c r="B1" s="4" t="s">
        <v>1</v>
      </c>
      <c r="C1" s="4" t="s">
        <v>2</v>
      </c>
      <c r="D1" s="3" t="s">
        <v>3</v>
      </c>
    </row>
    <row r="2" customFormat="false" ht="15" hidden="false" customHeight="true" outlineLevel="0" collapsed="false">
      <c r="A2" s="5" t="n">
        <v>1</v>
      </c>
      <c r="B2" s="6" t="n">
        <v>45901</v>
      </c>
      <c r="C2" s="6" t="n">
        <v>45901</v>
      </c>
      <c r="D2" s="5" t="n">
        <v>0</v>
      </c>
    </row>
    <row r="3" customFormat="false" ht="15" hidden="false" customHeight="true" outlineLevel="0" collapsed="false">
      <c r="A3" s="5" t="n">
        <v>2</v>
      </c>
      <c r="B3" s="6" t="n">
        <v>45901</v>
      </c>
      <c r="C3" s="6" t="n">
        <v>45901</v>
      </c>
      <c r="D3" s="5" t="n">
        <v>0</v>
      </c>
    </row>
    <row r="4" customFormat="false" ht="15" hidden="false" customHeight="true" outlineLevel="0" collapsed="false">
      <c r="A4" s="5" t="n">
        <v>3</v>
      </c>
      <c r="B4" s="6" t="n">
        <v>45901</v>
      </c>
      <c r="C4" s="6" t="n">
        <v>45901</v>
      </c>
      <c r="D4" s="5" t="n">
        <v>0</v>
      </c>
    </row>
    <row r="5" customFormat="false" ht="15" hidden="false" customHeight="true" outlineLevel="0" collapsed="false">
      <c r="A5" s="5" t="n">
        <v>4</v>
      </c>
      <c r="B5" s="6" t="n">
        <v>45902</v>
      </c>
      <c r="C5" s="6" t="n">
        <v>45902</v>
      </c>
      <c r="D5" s="5" t="n">
        <v>0</v>
      </c>
    </row>
    <row r="6" customFormat="false" ht="15" hidden="false" customHeight="true" outlineLevel="0" collapsed="false">
      <c r="A6" s="5" t="n">
        <v>5</v>
      </c>
      <c r="B6" s="6" t="n">
        <v>45902</v>
      </c>
      <c r="C6" s="6" t="n">
        <v>45902</v>
      </c>
      <c r="D6" s="5" t="n">
        <v>0</v>
      </c>
    </row>
    <row r="7" customFormat="false" ht="15" hidden="false" customHeight="true" outlineLevel="0" collapsed="false">
      <c r="A7" s="5" t="n">
        <v>6</v>
      </c>
      <c r="B7" s="6" t="n">
        <v>45902</v>
      </c>
      <c r="C7" s="6" t="n">
        <v>45902</v>
      </c>
      <c r="D7" s="5" t="n">
        <v>0</v>
      </c>
    </row>
    <row r="8" customFormat="false" ht="15" hidden="false" customHeight="true" outlineLevel="0" collapsed="false">
      <c r="A8" s="5" t="n">
        <v>7</v>
      </c>
      <c r="B8" s="6" t="n">
        <v>45903</v>
      </c>
      <c r="C8" s="6" t="n">
        <v>45903</v>
      </c>
      <c r="D8" s="5" t="n">
        <v>0</v>
      </c>
    </row>
    <row r="9" customFormat="false" ht="15" hidden="false" customHeight="true" outlineLevel="0" collapsed="false">
      <c r="A9" s="5" t="n">
        <v>8</v>
      </c>
      <c r="B9" s="6" t="n">
        <v>45903</v>
      </c>
      <c r="C9" s="6" t="n">
        <v>45903</v>
      </c>
      <c r="D9" s="5" t="n">
        <v>0</v>
      </c>
    </row>
    <row r="10" customFormat="false" ht="15" hidden="false" customHeight="true" outlineLevel="0" collapsed="false">
      <c r="A10" s="5" t="n">
        <v>9</v>
      </c>
      <c r="B10" s="6" t="n">
        <v>45904</v>
      </c>
      <c r="C10" s="6" t="n">
        <v>45904</v>
      </c>
      <c r="D10" s="5" t="n">
        <v>0</v>
      </c>
    </row>
    <row r="11" customFormat="false" ht="15" hidden="false" customHeight="true" outlineLevel="0" collapsed="false">
      <c r="A11" s="5" t="n">
        <v>10</v>
      </c>
      <c r="B11" s="6" t="n">
        <v>45904</v>
      </c>
      <c r="C11" s="6" t="n">
        <v>45904</v>
      </c>
      <c r="D11" s="5" t="n">
        <v>0</v>
      </c>
    </row>
    <row r="12" customFormat="false" ht="15" hidden="false" customHeight="true" outlineLevel="0" collapsed="false">
      <c r="A12" s="5" t="n">
        <v>11</v>
      </c>
      <c r="B12" s="6" t="n">
        <v>45904</v>
      </c>
      <c r="C12" s="6" t="n">
        <v>45904</v>
      </c>
      <c r="D12" s="5" t="n">
        <v>0</v>
      </c>
    </row>
    <row r="13" customFormat="false" ht="15" hidden="false" customHeight="true" outlineLevel="0" collapsed="false">
      <c r="A13" s="5" t="n">
        <v>12</v>
      </c>
      <c r="B13" s="6" t="n">
        <v>45905</v>
      </c>
      <c r="C13" s="6" t="n">
        <v>45905</v>
      </c>
      <c r="D13" s="5" t="n">
        <v>0</v>
      </c>
    </row>
    <row r="14" customFormat="false" ht="15" hidden="false" customHeight="true" outlineLevel="0" collapsed="false">
      <c r="A14" s="5" t="n">
        <v>13</v>
      </c>
      <c r="B14" s="6" t="n">
        <v>45905</v>
      </c>
      <c r="C14" s="6" t="n">
        <v>45905</v>
      </c>
      <c r="D14" s="5" t="n">
        <v>0</v>
      </c>
    </row>
    <row r="15" customFormat="false" ht="15" hidden="false" customHeight="true" outlineLevel="0" collapsed="false">
      <c r="A15" s="5" t="n">
        <v>14</v>
      </c>
      <c r="B15" s="6" t="n">
        <v>45905</v>
      </c>
      <c r="C15" s="6" t="n">
        <v>45905</v>
      </c>
      <c r="D15" s="5" t="n">
        <v>1</v>
      </c>
    </row>
    <row r="16" customFormat="false" ht="15" hidden="false" customHeight="true" outlineLevel="0" collapsed="false">
      <c r="A16" s="5" t="n">
        <v>15</v>
      </c>
      <c r="B16" s="6" t="n">
        <v>45906</v>
      </c>
      <c r="C16" s="6" t="n">
        <v>45906</v>
      </c>
      <c r="D16" s="5" t="n">
        <v>0</v>
      </c>
    </row>
    <row r="17" customFormat="false" ht="15" hidden="false" customHeight="true" outlineLevel="0" collapsed="false">
      <c r="A17" s="5" t="n">
        <v>16</v>
      </c>
      <c r="B17" s="6" t="n">
        <v>45906</v>
      </c>
      <c r="C17" s="6" t="n">
        <v>45906</v>
      </c>
      <c r="D17" s="5" t="n">
        <v>0</v>
      </c>
    </row>
    <row r="18" customFormat="false" ht="15" hidden="false" customHeight="true" outlineLevel="0" collapsed="false">
      <c r="A18" s="5" t="n">
        <v>17</v>
      </c>
      <c r="B18" s="6" t="n">
        <v>45907</v>
      </c>
      <c r="C18" s="6" t="n">
        <v>45907</v>
      </c>
      <c r="D18" s="5" t="n">
        <v>0</v>
      </c>
    </row>
    <row r="19" customFormat="false" ht="15" hidden="false" customHeight="true" outlineLevel="0" collapsed="false">
      <c r="A19" s="5" t="n">
        <v>18</v>
      </c>
      <c r="B19" s="6" t="n">
        <v>45907</v>
      </c>
      <c r="C19" s="6" t="n">
        <v>45907</v>
      </c>
      <c r="D19" s="5" t="n">
        <v>0</v>
      </c>
    </row>
    <row r="20" customFormat="false" ht="15" hidden="false" customHeight="true" outlineLevel="0" collapsed="false">
      <c r="A20" s="5" t="n">
        <v>19</v>
      </c>
      <c r="B20" s="6" t="n">
        <v>45907</v>
      </c>
      <c r="C20" s="6" t="n">
        <v>45907</v>
      </c>
      <c r="D20" s="5" t="n">
        <v>0</v>
      </c>
    </row>
    <row r="21" customFormat="false" ht="15" hidden="false" customHeight="true" outlineLevel="0" collapsed="false">
      <c r="A21" s="5" t="n">
        <v>20</v>
      </c>
      <c r="B21" s="6" t="n">
        <v>45908</v>
      </c>
      <c r="C21" s="6" t="n">
        <v>45908</v>
      </c>
      <c r="D21" s="5" t="n">
        <v>0</v>
      </c>
    </row>
    <row r="22" customFormat="false" ht="15" hidden="false" customHeight="true" outlineLevel="0" collapsed="false">
      <c r="A22" s="5" t="n">
        <v>21</v>
      </c>
      <c r="B22" s="6" t="n">
        <v>45908</v>
      </c>
      <c r="C22" s="6" t="n">
        <v>45908</v>
      </c>
      <c r="D22" s="5" t="n">
        <v>0</v>
      </c>
    </row>
    <row r="23" customFormat="false" ht="15" hidden="false" customHeight="true" outlineLevel="0" collapsed="false">
      <c r="A23" s="5" t="n">
        <v>22</v>
      </c>
      <c r="B23" s="6" t="n">
        <v>45908</v>
      </c>
      <c r="C23" s="6" t="n">
        <v>45908</v>
      </c>
      <c r="D23" s="5" t="n">
        <v>0</v>
      </c>
    </row>
    <row r="24" customFormat="false" ht="15" hidden="false" customHeight="true" outlineLevel="0" collapsed="false">
      <c r="A24" s="5" t="n">
        <v>23</v>
      </c>
      <c r="B24" s="6" t="n">
        <v>45909</v>
      </c>
      <c r="C24" s="6" t="n">
        <v>45909</v>
      </c>
      <c r="D24" s="5" t="n">
        <v>0</v>
      </c>
    </row>
    <row r="25" customFormat="false" ht="15" hidden="false" customHeight="true" outlineLevel="0" collapsed="false">
      <c r="A25" s="5" t="n">
        <v>24</v>
      </c>
      <c r="B25" s="6" t="n">
        <v>45909</v>
      </c>
      <c r="C25" s="6" t="n">
        <v>45909</v>
      </c>
      <c r="D25" s="5" t="n">
        <v>0</v>
      </c>
    </row>
    <row r="26" customFormat="false" ht="15" hidden="false" customHeight="true" outlineLevel="0" collapsed="false">
      <c r="A26" s="5" t="n">
        <v>25</v>
      </c>
      <c r="B26" s="6" t="n">
        <v>45909</v>
      </c>
      <c r="C26" s="6" t="n">
        <v>45909</v>
      </c>
      <c r="D26" s="5" t="n">
        <v>0</v>
      </c>
    </row>
    <row r="27" customFormat="false" ht="15" hidden="false" customHeight="true" outlineLevel="0" collapsed="false">
      <c r="A27" s="5" t="n">
        <v>26</v>
      </c>
      <c r="B27" s="6" t="n">
        <v>45910</v>
      </c>
      <c r="C27" s="6" t="n">
        <v>45910</v>
      </c>
      <c r="D27" s="5" t="n">
        <v>0</v>
      </c>
    </row>
    <row r="28" customFormat="false" ht="15" hidden="false" customHeight="true" outlineLevel="0" collapsed="false">
      <c r="A28" s="5" t="n">
        <v>27</v>
      </c>
      <c r="B28" s="6" t="n">
        <v>45910</v>
      </c>
      <c r="C28" s="6" t="n">
        <v>45910</v>
      </c>
      <c r="D28" s="5" t="n">
        <v>0</v>
      </c>
    </row>
    <row r="29" customFormat="false" ht="15" hidden="false" customHeight="true" outlineLevel="0" collapsed="false">
      <c r="A29" s="5" t="n">
        <v>28</v>
      </c>
      <c r="B29" s="6" t="n">
        <v>45910</v>
      </c>
      <c r="C29" s="6" t="n">
        <v>45910</v>
      </c>
      <c r="D29" s="5" t="n">
        <v>0</v>
      </c>
    </row>
    <row r="30" customFormat="false" ht="15" hidden="false" customHeight="true" outlineLevel="0" collapsed="false">
      <c r="A30" s="5" t="n">
        <v>29</v>
      </c>
      <c r="B30" s="6" t="n">
        <v>45911</v>
      </c>
      <c r="C30" s="6" t="n">
        <v>45911</v>
      </c>
      <c r="D30" s="5" t="n">
        <v>0</v>
      </c>
    </row>
    <row r="31" customFormat="false" ht="15" hidden="false" customHeight="true" outlineLevel="0" collapsed="false">
      <c r="A31" s="5" t="n">
        <v>30</v>
      </c>
      <c r="B31" s="6" t="n">
        <v>45911</v>
      </c>
      <c r="C31" s="6" t="n">
        <v>45911</v>
      </c>
      <c r="D31" s="5" t="n">
        <v>0</v>
      </c>
    </row>
    <row r="32" customFormat="false" ht="15" hidden="false" customHeight="true" outlineLevel="0" collapsed="false">
      <c r="A32" s="5" t="n">
        <v>31</v>
      </c>
      <c r="B32" s="6" t="n">
        <v>45912</v>
      </c>
      <c r="C32" s="6" t="n">
        <v>45912</v>
      </c>
      <c r="D32" s="5" t="n">
        <v>0</v>
      </c>
    </row>
    <row r="33" customFormat="false" ht="15" hidden="false" customHeight="true" outlineLevel="0" collapsed="false">
      <c r="A33" s="5" t="n">
        <v>32</v>
      </c>
      <c r="B33" s="6" t="n">
        <v>45912</v>
      </c>
      <c r="C33" s="6" t="n">
        <v>45912</v>
      </c>
      <c r="D33" s="5" t="n">
        <v>0</v>
      </c>
    </row>
    <row r="34" customFormat="false" ht="15" hidden="false" customHeight="true" outlineLevel="0" collapsed="false">
      <c r="A34" s="5" t="n">
        <v>33</v>
      </c>
      <c r="B34" s="6" t="n">
        <v>45912</v>
      </c>
      <c r="C34" s="6" t="n">
        <v>45912</v>
      </c>
      <c r="D34" s="5" t="n">
        <v>1</v>
      </c>
    </row>
    <row r="35" customFormat="false" ht="15" hidden="false" customHeight="true" outlineLevel="0" collapsed="false">
      <c r="A35" s="5" t="n">
        <v>34</v>
      </c>
      <c r="B35" s="6" t="n">
        <v>45913</v>
      </c>
      <c r="C35" s="6" t="n">
        <v>45913</v>
      </c>
      <c r="D35" s="5" t="n">
        <v>0</v>
      </c>
    </row>
    <row r="36" customFormat="false" ht="15" hidden="false" customHeight="true" outlineLevel="0" collapsed="false">
      <c r="A36" s="5" t="n">
        <v>35</v>
      </c>
      <c r="B36" s="6" t="n">
        <v>45913</v>
      </c>
      <c r="C36" s="6" t="n">
        <v>45913</v>
      </c>
      <c r="D36" s="5" t="n">
        <v>0</v>
      </c>
    </row>
    <row r="37" customFormat="false" ht="15" hidden="false" customHeight="true" outlineLevel="0" collapsed="false">
      <c r="A37" s="5" t="n">
        <v>36</v>
      </c>
      <c r="B37" s="6" t="n">
        <v>45913</v>
      </c>
      <c r="C37" s="6" t="n">
        <v>45913</v>
      </c>
      <c r="D37" s="5" t="n">
        <v>0</v>
      </c>
    </row>
    <row r="38" customFormat="false" ht="15" hidden="false" customHeight="true" outlineLevel="0" collapsed="false">
      <c r="A38" s="5" t="n">
        <v>37</v>
      </c>
      <c r="B38" s="6" t="n">
        <v>45914</v>
      </c>
      <c r="C38" s="6" t="n">
        <v>45914</v>
      </c>
      <c r="D38" s="5" t="n">
        <v>0</v>
      </c>
    </row>
    <row r="39" customFormat="false" ht="15" hidden="false" customHeight="true" outlineLevel="0" collapsed="false">
      <c r="A39" s="5" t="n">
        <v>38</v>
      </c>
      <c r="B39" s="6" t="n">
        <v>45914</v>
      </c>
      <c r="C39" s="6" t="n">
        <v>45914</v>
      </c>
      <c r="D39" s="5" t="n">
        <v>0</v>
      </c>
    </row>
    <row r="40" customFormat="false" ht="15" hidden="false" customHeight="true" outlineLevel="0" collapsed="false">
      <c r="A40" s="5" t="n">
        <v>39</v>
      </c>
      <c r="B40" s="6" t="n">
        <v>45914</v>
      </c>
      <c r="C40" s="6" t="n">
        <v>45914</v>
      </c>
      <c r="D40" s="5" t="n">
        <v>0</v>
      </c>
    </row>
    <row r="41" customFormat="false" ht="15" hidden="false" customHeight="true" outlineLevel="0" collapsed="false">
      <c r="A41" s="5" t="n">
        <v>40</v>
      </c>
      <c r="B41" s="6" t="n">
        <v>45915</v>
      </c>
      <c r="C41" s="6" t="n">
        <v>45915</v>
      </c>
      <c r="D41" s="5" t="n">
        <v>0</v>
      </c>
    </row>
    <row r="42" customFormat="false" ht="15" hidden="false" customHeight="true" outlineLevel="0" collapsed="false">
      <c r="A42" s="5" t="n">
        <v>41</v>
      </c>
      <c r="B42" s="6" t="n">
        <v>45915</v>
      </c>
      <c r="C42" s="6" t="n">
        <v>45915</v>
      </c>
      <c r="D42" s="5" t="n">
        <v>0</v>
      </c>
    </row>
    <row r="43" customFormat="false" ht="15" hidden="false" customHeight="true" outlineLevel="0" collapsed="false">
      <c r="A43" s="5" t="n">
        <v>42</v>
      </c>
      <c r="B43" s="6" t="n">
        <v>45915</v>
      </c>
      <c r="C43" s="6" t="n">
        <v>45915</v>
      </c>
      <c r="D43" s="5" t="n">
        <v>0</v>
      </c>
    </row>
    <row r="44" customFormat="false" ht="15" hidden="false" customHeight="true" outlineLevel="0" collapsed="false">
      <c r="A44" s="5" t="n">
        <v>43</v>
      </c>
      <c r="B44" s="6" t="n">
        <v>45916</v>
      </c>
      <c r="C44" s="6" t="n">
        <v>45916</v>
      </c>
      <c r="D44" s="5" t="n">
        <v>0</v>
      </c>
    </row>
    <row r="45" customFormat="false" ht="15" hidden="false" customHeight="true" outlineLevel="0" collapsed="false">
      <c r="A45" s="5" t="n">
        <v>44</v>
      </c>
      <c r="B45" s="6" t="n">
        <v>45916</v>
      </c>
      <c r="C45" s="6" t="n">
        <v>45916</v>
      </c>
      <c r="D45" s="5" t="n">
        <v>0</v>
      </c>
    </row>
    <row r="46" customFormat="false" ht="15" hidden="false" customHeight="true" outlineLevel="0" collapsed="false">
      <c r="A46" s="5" t="n">
        <v>45</v>
      </c>
      <c r="B46" s="6" t="n">
        <v>45916</v>
      </c>
      <c r="C46" s="6" t="n">
        <v>45916</v>
      </c>
      <c r="D46" s="5" t="n">
        <v>0</v>
      </c>
    </row>
    <row r="47" customFormat="false" ht="15" hidden="false" customHeight="true" outlineLevel="0" collapsed="false">
      <c r="A47" s="5" t="n">
        <v>46</v>
      </c>
      <c r="B47" s="6" t="n">
        <v>45917</v>
      </c>
      <c r="C47" s="6" t="n">
        <v>45917</v>
      </c>
      <c r="D47" s="5" t="n">
        <v>0</v>
      </c>
    </row>
    <row r="48" customFormat="false" ht="15" hidden="false" customHeight="true" outlineLevel="0" collapsed="false">
      <c r="A48" s="5" t="n">
        <v>47</v>
      </c>
      <c r="B48" s="6" t="n">
        <v>45917</v>
      </c>
      <c r="C48" s="6" t="n">
        <v>45917</v>
      </c>
      <c r="D48" s="5" t="n">
        <v>0</v>
      </c>
    </row>
    <row r="49" customFormat="false" ht="15" hidden="false" customHeight="true" outlineLevel="0" collapsed="false">
      <c r="A49" s="5" t="n">
        <v>48</v>
      </c>
      <c r="B49" s="6" t="n">
        <v>45918</v>
      </c>
      <c r="C49" s="6" t="n">
        <v>45918</v>
      </c>
      <c r="D49" s="5" t="n">
        <v>0</v>
      </c>
    </row>
    <row r="50" customFormat="false" ht="15" hidden="false" customHeight="true" outlineLevel="0" collapsed="false">
      <c r="A50" s="5" t="n">
        <v>49</v>
      </c>
      <c r="B50" s="6" t="n">
        <v>45918</v>
      </c>
      <c r="C50" s="6" t="n">
        <v>45918</v>
      </c>
      <c r="D50" s="5" t="n">
        <v>0</v>
      </c>
    </row>
    <row r="51" customFormat="false" ht="15" hidden="false" customHeight="true" outlineLevel="0" collapsed="false">
      <c r="A51" s="5" t="n">
        <v>50</v>
      </c>
      <c r="B51" s="6" t="n">
        <v>45918</v>
      </c>
      <c r="C51" s="6" t="n">
        <v>45918</v>
      </c>
      <c r="D51" s="5" t="n">
        <v>0</v>
      </c>
    </row>
    <row r="52" customFormat="false" ht="15" hidden="false" customHeight="true" outlineLevel="0" collapsed="false">
      <c r="A52" s="5" t="n">
        <v>51</v>
      </c>
      <c r="B52" s="6" t="n">
        <v>45918</v>
      </c>
      <c r="C52" s="6" t="n">
        <v>45918</v>
      </c>
      <c r="D52" s="5" t="n">
        <v>0</v>
      </c>
    </row>
    <row r="53" customFormat="false" ht="15" hidden="false" customHeight="true" outlineLevel="0" collapsed="false">
      <c r="A53" s="5" t="n">
        <v>52</v>
      </c>
      <c r="B53" s="6" t="n">
        <v>45919</v>
      </c>
      <c r="C53" s="6" t="n">
        <v>45919</v>
      </c>
      <c r="D53" s="5" t="n">
        <v>0</v>
      </c>
    </row>
    <row r="54" customFormat="false" ht="15" hidden="false" customHeight="true" outlineLevel="0" collapsed="false">
      <c r="A54" s="5" t="n">
        <v>53</v>
      </c>
      <c r="B54" s="6" t="n">
        <v>45919</v>
      </c>
      <c r="C54" s="6" t="n">
        <v>45919</v>
      </c>
      <c r="D54" s="5" t="n">
        <v>0</v>
      </c>
    </row>
    <row r="55" customFormat="false" ht="15" hidden="false" customHeight="true" outlineLevel="0" collapsed="false">
      <c r="A55" s="5" t="n">
        <v>54</v>
      </c>
      <c r="B55" s="6" t="n">
        <v>45919</v>
      </c>
      <c r="C55" s="6" t="n">
        <v>45919</v>
      </c>
      <c r="D55" s="5" t="n">
        <v>0</v>
      </c>
    </row>
    <row r="56" customFormat="false" ht="15" hidden="false" customHeight="true" outlineLevel="0" collapsed="false">
      <c r="A56" s="5" t="n">
        <v>55</v>
      </c>
      <c r="B56" s="6" t="n">
        <v>45919</v>
      </c>
      <c r="C56" s="6" t="n">
        <v>45919</v>
      </c>
      <c r="D56" s="5" t="n">
        <v>0</v>
      </c>
    </row>
    <row r="57" customFormat="false" ht="15" hidden="false" customHeight="true" outlineLevel="0" collapsed="false">
      <c r="A57" s="5" t="n">
        <v>56</v>
      </c>
      <c r="B57" s="6" t="n">
        <v>45920</v>
      </c>
      <c r="C57" s="6" t="n">
        <v>45920</v>
      </c>
      <c r="D57" s="5" t="n">
        <v>0</v>
      </c>
    </row>
    <row r="58" customFormat="false" ht="15" hidden="false" customHeight="true" outlineLevel="0" collapsed="false">
      <c r="A58" s="5" t="n">
        <v>57</v>
      </c>
      <c r="B58" s="6" t="n">
        <v>45920</v>
      </c>
      <c r="C58" s="6" t="n">
        <v>45920</v>
      </c>
      <c r="D58" s="5" t="n">
        <v>0</v>
      </c>
    </row>
    <row r="59" customFormat="false" ht="15" hidden="false" customHeight="true" outlineLevel="0" collapsed="false">
      <c r="A59" s="5" t="n">
        <v>58</v>
      </c>
      <c r="B59" s="6" t="n">
        <v>45920</v>
      </c>
      <c r="C59" s="6" t="n">
        <v>45920</v>
      </c>
      <c r="D59" s="5" t="n">
        <v>0</v>
      </c>
    </row>
    <row r="60" customFormat="false" ht="15" hidden="false" customHeight="true" outlineLevel="0" collapsed="false">
      <c r="A60" s="5" t="n">
        <v>59</v>
      </c>
      <c r="B60" s="6" t="n">
        <v>45921</v>
      </c>
      <c r="C60" s="6" t="n">
        <v>45921</v>
      </c>
      <c r="D60" s="5" t="n">
        <v>0</v>
      </c>
    </row>
    <row r="61" customFormat="false" ht="15" hidden="false" customHeight="false" outlineLevel="0" collapsed="false">
      <c r="A61" s="1" t="n">
        <v>60</v>
      </c>
      <c r="B61" s="7" t="n">
        <v>45921</v>
      </c>
      <c r="C61" s="7" t="n">
        <v>45921</v>
      </c>
      <c r="D61" s="1" t="n">
        <v>0</v>
      </c>
    </row>
    <row r="62" customFormat="false" ht="15" hidden="false" customHeight="false" outlineLevel="0" collapsed="false">
      <c r="A62" s="1" t="n">
        <v>61</v>
      </c>
      <c r="B62" s="7" t="n">
        <v>45921</v>
      </c>
      <c r="C62" s="7" t="n">
        <v>45921</v>
      </c>
      <c r="D62" s="1" t="n">
        <v>0</v>
      </c>
    </row>
    <row r="63" customFormat="false" ht="15" hidden="false" customHeight="false" outlineLevel="0" collapsed="false">
      <c r="A63" s="1" t="n">
        <v>62</v>
      </c>
      <c r="B63" s="7" t="n">
        <v>45922</v>
      </c>
      <c r="C63" s="7" t="n">
        <v>45922</v>
      </c>
      <c r="D63" s="1" t="n">
        <v>0</v>
      </c>
    </row>
    <row r="64" customFormat="false" ht="15" hidden="false" customHeight="false" outlineLevel="0" collapsed="false">
      <c r="A64" s="1" t="n">
        <v>63</v>
      </c>
      <c r="B64" s="7" t="n">
        <v>45922</v>
      </c>
      <c r="C64" s="7" t="n">
        <v>45922</v>
      </c>
      <c r="D64" s="1" t="n">
        <v>0</v>
      </c>
    </row>
    <row r="65" customFormat="false" ht="15" hidden="false" customHeight="false" outlineLevel="0" collapsed="false">
      <c r="A65" s="1" t="n">
        <v>64</v>
      </c>
      <c r="B65" s="7" t="n">
        <v>45922</v>
      </c>
      <c r="C65" s="7" t="n">
        <v>45922</v>
      </c>
      <c r="D65" s="1" t="n">
        <v>0</v>
      </c>
    </row>
    <row r="66" customFormat="false" ht="15" hidden="false" customHeight="false" outlineLevel="0" collapsed="false">
      <c r="A66" s="1" t="n">
        <v>65</v>
      </c>
      <c r="B66" s="7" t="n">
        <v>45923</v>
      </c>
      <c r="C66" s="7" t="n">
        <v>45923</v>
      </c>
      <c r="D66" s="1" t="n">
        <v>0</v>
      </c>
    </row>
    <row r="67" customFormat="false" ht="15" hidden="false" customHeight="false" outlineLevel="0" collapsed="false">
      <c r="A67" s="1" t="n">
        <v>66</v>
      </c>
      <c r="B67" s="7" t="n">
        <v>45923</v>
      </c>
      <c r="C67" s="7" t="n">
        <v>45923</v>
      </c>
      <c r="D67" s="1" t="n">
        <v>0</v>
      </c>
    </row>
    <row r="68" customFormat="false" ht="15" hidden="false" customHeight="false" outlineLevel="0" collapsed="false">
      <c r="A68" s="1" t="n">
        <v>67</v>
      </c>
      <c r="B68" s="7" t="n">
        <v>45924</v>
      </c>
      <c r="C68" s="7" t="n">
        <v>45924</v>
      </c>
      <c r="D68" s="1" t="n">
        <v>0</v>
      </c>
    </row>
    <row r="69" customFormat="false" ht="15" hidden="false" customHeight="false" outlineLevel="0" collapsed="false">
      <c r="A69" s="1" t="n">
        <v>68</v>
      </c>
      <c r="B69" s="7" t="n">
        <v>45924</v>
      </c>
      <c r="C69" s="7" t="n">
        <v>45924</v>
      </c>
      <c r="D69" s="1" t="n">
        <v>0</v>
      </c>
    </row>
    <row r="70" customFormat="false" ht="15" hidden="false" customHeight="false" outlineLevel="0" collapsed="false">
      <c r="A70" s="1" t="n">
        <v>69</v>
      </c>
      <c r="B70" s="7" t="n">
        <v>45924</v>
      </c>
      <c r="C70" s="7" t="n">
        <v>45924</v>
      </c>
      <c r="D70" s="1" t="n">
        <v>0</v>
      </c>
    </row>
    <row r="71" customFormat="false" ht="15" hidden="false" customHeight="false" outlineLevel="0" collapsed="false">
      <c r="A71" s="1" t="n">
        <v>70</v>
      </c>
      <c r="B71" s="7" t="n">
        <v>45924</v>
      </c>
      <c r="C71" s="7" t="n">
        <v>45924</v>
      </c>
      <c r="D71" s="1" t="n">
        <v>0</v>
      </c>
    </row>
    <row r="72" customFormat="false" ht="15" hidden="false" customHeight="false" outlineLevel="0" collapsed="false">
      <c r="A72" s="1" t="n">
        <v>71</v>
      </c>
      <c r="B72" s="7" t="n">
        <v>45925</v>
      </c>
      <c r="C72" s="7" t="n">
        <v>45925</v>
      </c>
      <c r="D72" s="1" t="n">
        <v>0</v>
      </c>
    </row>
    <row r="73" customFormat="false" ht="15" hidden="false" customHeight="false" outlineLevel="0" collapsed="false">
      <c r="A73" s="1" t="n">
        <v>72</v>
      </c>
      <c r="B73" s="7" t="n">
        <v>45925</v>
      </c>
      <c r="C73" s="7" t="n">
        <v>45925</v>
      </c>
      <c r="D73" s="1" t="n">
        <v>0</v>
      </c>
    </row>
    <row r="74" customFormat="false" ht="15" hidden="false" customHeight="false" outlineLevel="0" collapsed="false">
      <c r="A74" s="1" t="n">
        <v>73</v>
      </c>
      <c r="B74" s="7" t="n">
        <v>45926</v>
      </c>
      <c r="C74" s="7" t="n">
        <v>45926</v>
      </c>
      <c r="D74" s="1" t="n">
        <v>0</v>
      </c>
    </row>
    <row r="75" customFormat="false" ht="15" hidden="false" customHeight="false" outlineLevel="0" collapsed="false">
      <c r="A75" s="1" t="n">
        <v>74</v>
      </c>
      <c r="B75" s="7" t="n">
        <v>45926</v>
      </c>
      <c r="C75" s="7" t="n">
        <v>45926</v>
      </c>
      <c r="D75" s="1" t="n">
        <v>0</v>
      </c>
    </row>
    <row r="76" customFormat="false" ht="15" hidden="false" customHeight="false" outlineLevel="0" collapsed="false">
      <c r="A76" s="1" t="n">
        <v>75</v>
      </c>
      <c r="B76" s="7" t="n">
        <v>45926</v>
      </c>
      <c r="C76" s="7" t="n">
        <v>45926</v>
      </c>
      <c r="D76" s="1" t="n">
        <v>0</v>
      </c>
    </row>
    <row r="77" customFormat="false" ht="15" hidden="false" customHeight="false" outlineLevel="0" collapsed="false">
      <c r="A77" s="1" t="n">
        <v>76</v>
      </c>
      <c r="B77" s="7" t="n">
        <v>45927</v>
      </c>
      <c r="C77" s="7" t="n">
        <v>45927</v>
      </c>
      <c r="D77" s="1" t="n">
        <v>0</v>
      </c>
    </row>
    <row r="78" customFormat="false" ht="15" hidden="false" customHeight="false" outlineLevel="0" collapsed="false">
      <c r="A78" s="1" t="n">
        <v>77</v>
      </c>
      <c r="B78" s="7" t="n">
        <v>45927</v>
      </c>
      <c r="C78" s="7" t="n">
        <v>45927</v>
      </c>
      <c r="D78" s="1" t="n">
        <v>0</v>
      </c>
    </row>
    <row r="79" customFormat="false" ht="15" hidden="false" customHeight="false" outlineLevel="0" collapsed="false">
      <c r="A79" s="1" t="n">
        <v>78</v>
      </c>
      <c r="B79" s="7" t="n">
        <v>45927</v>
      </c>
      <c r="C79" s="7" t="n">
        <v>45927</v>
      </c>
      <c r="D79" s="1" t="n">
        <v>0</v>
      </c>
    </row>
    <row r="80" customFormat="false" ht="15" hidden="false" customHeight="false" outlineLevel="0" collapsed="false">
      <c r="A80" s="1" t="n">
        <v>79</v>
      </c>
      <c r="B80" s="7" t="n">
        <v>45928</v>
      </c>
      <c r="C80" s="7" t="n">
        <v>45928</v>
      </c>
      <c r="D80" s="1" t="n">
        <v>0</v>
      </c>
    </row>
    <row r="81" customFormat="false" ht="15" hidden="false" customHeight="false" outlineLevel="0" collapsed="false">
      <c r="A81" s="1" t="n">
        <v>80</v>
      </c>
      <c r="B81" s="7" t="n">
        <v>45928</v>
      </c>
      <c r="C81" s="7" t="n">
        <v>45928</v>
      </c>
      <c r="D81" s="1" t="n">
        <v>0</v>
      </c>
    </row>
    <row r="82" customFormat="false" ht="15" hidden="false" customHeight="false" outlineLevel="0" collapsed="false">
      <c r="A82" s="1" t="n">
        <v>81</v>
      </c>
      <c r="B82" s="7" t="n">
        <v>45928</v>
      </c>
      <c r="C82" s="7" t="n">
        <v>45928</v>
      </c>
      <c r="D82" s="1" t="n">
        <v>0</v>
      </c>
    </row>
    <row r="83" customFormat="false" ht="15" hidden="false" customHeight="false" outlineLevel="0" collapsed="false">
      <c r="A83" s="1" t="n">
        <v>82</v>
      </c>
      <c r="B83" s="7" t="n">
        <v>45929</v>
      </c>
      <c r="C83" s="7" t="n">
        <v>45929</v>
      </c>
      <c r="D83" s="1" t="n">
        <v>0</v>
      </c>
    </row>
    <row r="84" customFormat="false" ht="15" hidden="false" customHeight="false" outlineLevel="0" collapsed="false">
      <c r="A84" s="1" t="n">
        <v>83</v>
      </c>
      <c r="B84" s="7" t="n">
        <v>45929</v>
      </c>
      <c r="C84" s="7" t="n">
        <v>45929</v>
      </c>
      <c r="D84" s="1" t="n">
        <v>0</v>
      </c>
    </row>
    <row r="85" customFormat="false" ht="15" hidden="false" customHeight="false" outlineLevel="0" collapsed="false">
      <c r="A85" s="1" t="n">
        <v>84</v>
      </c>
      <c r="B85" s="7" t="n">
        <v>45929</v>
      </c>
      <c r="C85" s="7" t="n">
        <v>45929</v>
      </c>
      <c r="D85" s="1" t="n">
        <v>0</v>
      </c>
    </row>
    <row r="86" customFormat="false" ht="15" hidden="false" customHeight="false" outlineLevel="0" collapsed="false">
      <c r="A86" s="1" t="n">
        <v>85</v>
      </c>
      <c r="B86" s="7" t="n">
        <v>45930</v>
      </c>
      <c r="C86" s="7" t="n">
        <v>45930</v>
      </c>
      <c r="D86" s="1" t="n">
        <v>0</v>
      </c>
    </row>
    <row r="87" customFormat="false" ht="15" hidden="false" customHeight="false" outlineLevel="0" collapsed="false">
      <c r="A87" s="1" t="n">
        <v>86</v>
      </c>
      <c r="B87" s="7" t="n">
        <v>45930</v>
      </c>
      <c r="C87" s="7" t="n">
        <v>45930</v>
      </c>
      <c r="D87" s="1" t="n">
        <v>0</v>
      </c>
    </row>
    <row r="88" customFormat="false" ht="15" hidden="false" customHeight="false" outlineLevel="0" collapsed="false">
      <c r="A88" s="1" t="n">
        <v>87</v>
      </c>
      <c r="B88" s="7" t="n">
        <v>45930</v>
      </c>
      <c r="C88" s="7" t="n">
        <v>45930</v>
      </c>
      <c r="D88" s="1" t="n">
        <v>0</v>
      </c>
    </row>
    <row r="89" customFormat="false" ht="15" hidden="false" customHeight="false" outlineLevel="0" collapsed="false">
      <c r="A89" s="1" t="n">
        <v>88</v>
      </c>
      <c r="B89" s="7" t="n">
        <v>45930</v>
      </c>
      <c r="C89" s="7" t="n">
        <v>45930</v>
      </c>
      <c r="D89" s="1" t="n">
        <v>0</v>
      </c>
    </row>
    <row r="90" customFormat="false" ht="15" hidden="false" customHeight="false" outlineLevel="0" collapsed="false">
      <c r="A90" s="1" t="n">
        <v>89</v>
      </c>
      <c r="B90" s="7" t="n">
        <v>45931</v>
      </c>
      <c r="C90" s="7" t="n">
        <v>45931</v>
      </c>
      <c r="D90" s="1" t="n">
        <v>0</v>
      </c>
    </row>
    <row r="91" customFormat="false" ht="15" hidden="false" customHeight="false" outlineLevel="0" collapsed="false">
      <c r="A91" s="1" t="n">
        <v>90</v>
      </c>
      <c r="B91" s="7" t="n">
        <v>45931</v>
      </c>
      <c r="C91" s="7" t="n">
        <v>45931</v>
      </c>
      <c r="D91" s="1" t="n">
        <v>0</v>
      </c>
    </row>
    <row r="92" customFormat="false" ht="15" hidden="false" customHeight="false" outlineLevel="0" collapsed="false">
      <c r="A92" s="1" t="n">
        <v>91</v>
      </c>
      <c r="B92" s="7" t="n">
        <v>45931</v>
      </c>
      <c r="C92" s="7" t="n">
        <v>45931</v>
      </c>
      <c r="D92" s="1" t="n">
        <v>0</v>
      </c>
    </row>
    <row r="93" customFormat="false" ht="15" hidden="false" customHeight="false" outlineLevel="0" collapsed="false">
      <c r="A93" s="1" t="n">
        <v>92</v>
      </c>
      <c r="B93" s="7" t="n">
        <v>45932</v>
      </c>
      <c r="C93" s="7" t="n">
        <v>45932</v>
      </c>
      <c r="D93" s="1" t="n">
        <v>1</v>
      </c>
    </row>
    <row r="94" customFormat="false" ht="15" hidden="false" customHeight="false" outlineLevel="0" collapsed="false">
      <c r="A94" s="1" t="n">
        <v>93</v>
      </c>
      <c r="B94" s="7" t="n">
        <v>45932</v>
      </c>
      <c r="C94" s="7" t="n">
        <v>45932</v>
      </c>
      <c r="D94" s="1" t="n">
        <v>0</v>
      </c>
    </row>
    <row r="95" customFormat="false" ht="15" hidden="false" customHeight="false" outlineLevel="0" collapsed="false">
      <c r="A95" s="1" t="n">
        <v>94</v>
      </c>
      <c r="B95" s="7" t="n">
        <v>45932</v>
      </c>
      <c r="C95" s="7" t="n">
        <v>45932</v>
      </c>
      <c r="D95" s="1" t="n">
        <v>0</v>
      </c>
    </row>
    <row r="96" customFormat="false" ht="15" hidden="false" customHeight="false" outlineLevel="0" collapsed="false">
      <c r="A96" s="1" t="n">
        <v>95</v>
      </c>
      <c r="B96" s="7" t="n">
        <v>45933</v>
      </c>
      <c r="C96" s="7" t="n">
        <v>45933</v>
      </c>
      <c r="D96" s="1" t="n">
        <v>0</v>
      </c>
    </row>
    <row r="97" customFormat="false" ht="15" hidden="false" customHeight="false" outlineLevel="0" collapsed="false">
      <c r="A97" s="1" t="n">
        <v>96</v>
      </c>
      <c r="B97" s="7" t="n">
        <v>45933</v>
      </c>
      <c r="C97" s="7" t="n">
        <v>45933</v>
      </c>
      <c r="D97" s="1" t="n">
        <v>0</v>
      </c>
    </row>
    <row r="98" customFormat="false" ht="15" hidden="false" customHeight="false" outlineLevel="0" collapsed="false">
      <c r="A98" s="1" t="n">
        <v>97</v>
      </c>
      <c r="B98" s="7" t="n">
        <v>45934</v>
      </c>
      <c r="C98" s="7" t="n">
        <v>45934</v>
      </c>
      <c r="D98" s="1" t="n">
        <v>0</v>
      </c>
    </row>
    <row r="99" customFormat="false" ht="15" hidden="false" customHeight="false" outlineLevel="0" collapsed="false">
      <c r="A99" s="1" t="n">
        <v>98</v>
      </c>
      <c r="B99" s="7" t="n">
        <v>45934</v>
      </c>
      <c r="C99" s="7" t="n">
        <v>45934</v>
      </c>
      <c r="D99" s="1" t="n">
        <v>0</v>
      </c>
    </row>
    <row r="100" customFormat="false" ht="15" hidden="false" customHeight="false" outlineLevel="0" collapsed="false">
      <c r="A100" s="1" t="n">
        <v>99</v>
      </c>
      <c r="B100" s="7" t="n">
        <v>45934</v>
      </c>
      <c r="C100" s="7" t="n">
        <v>45934</v>
      </c>
      <c r="D100" s="1" t="n">
        <v>0</v>
      </c>
    </row>
    <row r="101" customFormat="false" ht="15" hidden="false" customHeight="false" outlineLevel="0" collapsed="false">
      <c r="A101" s="1" t="n">
        <v>100</v>
      </c>
      <c r="B101" s="7" t="n">
        <v>45935</v>
      </c>
      <c r="C101" s="7" t="n">
        <v>45935</v>
      </c>
      <c r="D101" s="1" t="n">
        <v>0</v>
      </c>
    </row>
    <row r="102" customFormat="false" ht="15" hidden="false" customHeight="false" outlineLevel="0" collapsed="false">
      <c r="A102" s="1" t="n">
        <v>101</v>
      </c>
      <c r="B102" s="7" t="n">
        <v>45935</v>
      </c>
      <c r="C102" s="7" t="n">
        <v>45935</v>
      </c>
      <c r="D102" s="1" t="n">
        <v>0</v>
      </c>
    </row>
    <row r="103" customFormat="false" ht="15" hidden="false" customHeight="false" outlineLevel="0" collapsed="false">
      <c r="A103" s="1" t="n">
        <v>102</v>
      </c>
      <c r="B103" s="7" t="n">
        <v>45935</v>
      </c>
      <c r="C103" s="7" t="n">
        <v>45935</v>
      </c>
      <c r="D103" s="1" t="n">
        <v>0</v>
      </c>
    </row>
    <row r="104" customFormat="false" ht="15" hidden="false" customHeight="false" outlineLevel="0" collapsed="false">
      <c r="A104" s="1" t="n">
        <v>103</v>
      </c>
      <c r="B104" s="7" t="n">
        <v>45936</v>
      </c>
      <c r="C104" s="7" t="n">
        <v>45936</v>
      </c>
      <c r="D104" s="1" t="n">
        <v>0</v>
      </c>
    </row>
    <row r="105" customFormat="false" ht="15" hidden="false" customHeight="false" outlineLevel="0" collapsed="false">
      <c r="A105" s="1" t="n">
        <v>104</v>
      </c>
      <c r="B105" s="7" t="n">
        <v>45936</v>
      </c>
      <c r="C105" s="7" t="n">
        <v>45936</v>
      </c>
      <c r="D105" s="1" t="n">
        <v>0</v>
      </c>
    </row>
    <row r="106" customFormat="false" ht="15" hidden="false" customHeight="false" outlineLevel="0" collapsed="false">
      <c r="A106" s="1" t="n">
        <v>105</v>
      </c>
      <c r="B106" s="7" t="n">
        <v>45936</v>
      </c>
      <c r="C106" s="7" t="n">
        <v>45936</v>
      </c>
      <c r="D106" s="1" t="n">
        <v>0</v>
      </c>
    </row>
    <row r="107" customFormat="false" ht="15" hidden="false" customHeight="false" outlineLevel="0" collapsed="false">
      <c r="A107" s="1" t="n">
        <v>106</v>
      </c>
      <c r="B107" s="7" t="n">
        <v>45937</v>
      </c>
      <c r="C107" s="7" t="n">
        <v>45937</v>
      </c>
      <c r="D107" s="1" t="n">
        <v>0</v>
      </c>
    </row>
    <row r="108" customFormat="false" ht="15" hidden="false" customHeight="false" outlineLevel="0" collapsed="false">
      <c r="A108" s="1" t="n">
        <v>107</v>
      </c>
      <c r="B108" s="7" t="n">
        <v>45937</v>
      </c>
      <c r="C108" s="7" t="n">
        <v>45937</v>
      </c>
      <c r="D108" s="1" t="n">
        <v>0</v>
      </c>
    </row>
    <row r="109" customFormat="false" ht="15" hidden="false" customHeight="false" outlineLevel="0" collapsed="false">
      <c r="A109" s="1" t="n">
        <v>108</v>
      </c>
      <c r="B109" s="7" t="n">
        <v>45938</v>
      </c>
      <c r="C109" s="7" t="n">
        <v>45938</v>
      </c>
      <c r="D109" s="1" t="n">
        <v>0</v>
      </c>
    </row>
    <row r="110" customFormat="false" ht="15" hidden="false" customHeight="false" outlineLevel="0" collapsed="false">
      <c r="A110" s="1" t="n">
        <v>109</v>
      </c>
      <c r="B110" s="7" t="n">
        <v>45938</v>
      </c>
      <c r="C110" s="7" t="n">
        <v>45938</v>
      </c>
      <c r="D110" s="1" t="n">
        <v>0</v>
      </c>
    </row>
    <row r="111" customFormat="false" ht="15" hidden="false" customHeight="false" outlineLevel="0" collapsed="false">
      <c r="A111" s="1" t="n">
        <v>110</v>
      </c>
      <c r="B111" s="7" t="n">
        <v>45939</v>
      </c>
      <c r="C111" s="7" t="n">
        <v>45939</v>
      </c>
      <c r="D111" s="1" t="n">
        <v>0</v>
      </c>
    </row>
    <row r="112" customFormat="false" ht="15" hidden="false" customHeight="false" outlineLevel="0" collapsed="false">
      <c r="A112" s="1" t="n">
        <v>111</v>
      </c>
      <c r="B112" s="7" t="n">
        <v>45939</v>
      </c>
      <c r="C112" s="7" t="n">
        <v>45939</v>
      </c>
      <c r="D112" s="1" t="n">
        <v>0</v>
      </c>
    </row>
    <row r="113" customFormat="false" ht="15" hidden="false" customHeight="false" outlineLevel="0" collapsed="false">
      <c r="A113" s="1" t="n">
        <v>112</v>
      </c>
      <c r="B113" s="7" t="n">
        <v>45939</v>
      </c>
      <c r="C113" s="7" t="n">
        <v>45939</v>
      </c>
      <c r="D113" s="1" t="n">
        <v>0</v>
      </c>
    </row>
    <row r="114" customFormat="false" ht="15" hidden="false" customHeight="false" outlineLevel="0" collapsed="false">
      <c r="A114" s="1" t="n">
        <v>113</v>
      </c>
      <c r="B114" s="7" t="n">
        <v>45939</v>
      </c>
      <c r="C114" s="7" t="n">
        <v>45939</v>
      </c>
      <c r="D114" s="1" t="n">
        <v>0</v>
      </c>
    </row>
    <row r="115" customFormat="false" ht="15" hidden="false" customHeight="false" outlineLevel="0" collapsed="false">
      <c r="A115" s="1" t="n">
        <v>114</v>
      </c>
      <c r="B115" s="7" t="n">
        <v>45940</v>
      </c>
      <c r="C115" s="7" t="n">
        <v>45940</v>
      </c>
      <c r="D115" s="1" t="n">
        <v>0</v>
      </c>
    </row>
    <row r="116" customFormat="false" ht="15" hidden="false" customHeight="false" outlineLevel="0" collapsed="false">
      <c r="A116" s="1" t="n">
        <v>115</v>
      </c>
      <c r="B116" s="7" t="n">
        <v>45940</v>
      </c>
      <c r="C116" s="7" t="n">
        <v>45940</v>
      </c>
      <c r="D116" s="1" t="n">
        <v>0</v>
      </c>
    </row>
    <row r="117" customFormat="false" ht="15" hidden="false" customHeight="false" outlineLevel="0" collapsed="false">
      <c r="A117" s="1" t="n">
        <v>116</v>
      </c>
      <c r="B117" s="7" t="n">
        <v>45940</v>
      </c>
      <c r="C117" s="7" t="n">
        <v>45940</v>
      </c>
      <c r="D117" s="1" t="n">
        <v>0</v>
      </c>
    </row>
    <row r="118" customFormat="false" ht="15" hidden="false" customHeight="false" outlineLevel="0" collapsed="false">
      <c r="A118" s="1" t="n">
        <v>117</v>
      </c>
      <c r="B118" s="7" t="n">
        <v>45941</v>
      </c>
      <c r="C118" s="7" t="n">
        <v>45941</v>
      </c>
      <c r="D118" s="1" t="n">
        <v>0</v>
      </c>
    </row>
    <row r="119" customFormat="false" ht="15" hidden="false" customHeight="false" outlineLevel="0" collapsed="false">
      <c r="A119" s="1" t="n">
        <v>118</v>
      </c>
      <c r="B119" s="7" t="n">
        <v>45941</v>
      </c>
      <c r="C119" s="7" t="n">
        <v>45941</v>
      </c>
      <c r="D119" s="1" t="n">
        <v>1</v>
      </c>
    </row>
    <row r="120" customFormat="false" ht="15" hidden="false" customHeight="false" outlineLevel="0" collapsed="false">
      <c r="A120" s="1" t="n">
        <v>119</v>
      </c>
      <c r="B120" s="7" t="n">
        <v>45942</v>
      </c>
      <c r="C120" s="7" t="n">
        <v>45942</v>
      </c>
      <c r="D120" s="1" t="n">
        <v>0</v>
      </c>
    </row>
    <row r="121" customFormat="false" ht="15" hidden="false" customHeight="false" outlineLevel="0" collapsed="false">
      <c r="A121" s="1" t="n">
        <v>120</v>
      </c>
      <c r="B121" s="7" t="n">
        <v>45942</v>
      </c>
      <c r="C121" s="7" t="n">
        <v>45942</v>
      </c>
      <c r="D121" s="1" t="n">
        <v>0</v>
      </c>
    </row>
    <row r="122" customFormat="false" ht="15" hidden="false" customHeight="false" outlineLevel="0" collapsed="false">
      <c r="A122" s="1" t="n">
        <v>121</v>
      </c>
      <c r="B122" s="7" t="n">
        <v>45943</v>
      </c>
      <c r="C122" s="7" t="n">
        <v>45943</v>
      </c>
      <c r="D122" s="1" t="n">
        <v>0</v>
      </c>
    </row>
    <row r="123" customFormat="false" ht="15" hidden="false" customHeight="false" outlineLevel="0" collapsed="false">
      <c r="A123" s="1" t="n">
        <v>122</v>
      </c>
      <c r="B123" s="7" t="n">
        <v>45943</v>
      </c>
      <c r="C123" s="7" t="n">
        <v>45943</v>
      </c>
      <c r="D123" s="1" t="n">
        <v>0</v>
      </c>
    </row>
    <row r="124" customFormat="false" ht="15" hidden="false" customHeight="false" outlineLevel="0" collapsed="false">
      <c r="A124" s="1" t="n">
        <v>123</v>
      </c>
      <c r="B124" s="7" t="n">
        <v>45943</v>
      </c>
      <c r="C124" s="7" t="n">
        <v>45943</v>
      </c>
      <c r="D124" s="1" t="n">
        <v>0</v>
      </c>
    </row>
    <row r="125" customFormat="false" ht="15" hidden="false" customHeight="false" outlineLevel="0" collapsed="false">
      <c r="A125" s="1" t="n">
        <v>124</v>
      </c>
      <c r="B125" s="7" t="n">
        <v>45944</v>
      </c>
      <c r="C125" s="7" t="n">
        <v>45944</v>
      </c>
      <c r="D125" s="1" t="n">
        <v>0</v>
      </c>
    </row>
    <row r="126" customFormat="false" ht="15" hidden="false" customHeight="false" outlineLevel="0" collapsed="false">
      <c r="A126" s="1" t="n">
        <v>125</v>
      </c>
      <c r="B126" s="7" t="n">
        <v>45944</v>
      </c>
      <c r="C126" s="7" t="n">
        <v>45944</v>
      </c>
      <c r="D126" s="1" t="n">
        <v>0</v>
      </c>
    </row>
    <row r="127" customFormat="false" ht="15" hidden="false" customHeight="false" outlineLevel="0" collapsed="false">
      <c r="A127" s="1" t="n">
        <v>126</v>
      </c>
      <c r="B127" s="7" t="n">
        <v>45944</v>
      </c>
      <c r="C127" s="7" t="n">
        <v>45944</v>
      </c>
      <c r="D127" s="1" t="n">
        <v>0</v>
      </c>
    </row>
    <row r="128" customFormat="false" ht="15" hidden="false" customHeight="false" outlineLevel="0" collapsed="false">
      <c r="A128" s="1" t="n">
        <v>127</v>
      </c>
      <c r="B128" s="7" t="n">
        <v>45945</v>
      </c>
      <c r="C128" s="7" t="n">
        <v>45945</v>
      </c>
      <c r="D128" s="1" t="n">
        <v>0</v>
      </c>
    </row>
    <row r="129" customFormat="false" ht="15" hidden="false" customHeight="false" outlineLevel="0" collapsed="false">
      <c r="A129" s="1" t="n">
        <v>128</v>
      </c>
      <c r="B129" s="7" t="n">
        <v>45945</v>
      </c>
      <c r="C129" s="7" t="n">
        <v>45945</v>
      </c>
      <c r="D129" s="1" t="n">
        <v>0</v>
      </c>
    </row>
    <row r="130" customFormat="false" ht="15" hidden="false" customHeight="false" outlineLevel="0" collapsed="false">
      <c r="A130" s="1" t="n">
        <v>129</v>
      </c>
      <c r="B130" s="7" t="n">
        <v>45946</v>
      </c>
      <c r="C130" s="7" t="n">
        <v>45946</v>
      </c>
      <c r="D130" s="1" t="n">
        <v>0</v>
      </c>
    </row>
    <row r="131" customFormat="false" ht="15" hidden="false" customHeight="false" outlineLevel="0" collapsed="false">
      <c r="A131" s="1" t="n">
        <v>130</v>
      </c>
      <c r="B131" s="7" t="n">
        <v>45946</v>
      </c>
      <c r="C131" s="7" t="n">
        <v>45946</v>
      </c>
      <c r="D131" s="1" t="n">
        <v>0</v>
      </c>
    </row>
    <row r="132" customFormat="false" ht="15" hidden="false" customHeight="false" outlineLevel="0" collapsed="false">
      <c r="A132" s="1" t="n">
        <v>131</v>
      </c>
      <c r="B132" s="7" t="n">
        <v>45946</v>
      </c>
      <c r="C132" s="7" t="n">
        <v>45946</v>
      </c>
      <c r="D132" s="1" t="n">
        <v>0</v>
      </c>
    </row>
    <row r="133" customFormat="false" ht="15" hidden="false" customHeight="false" outlineLevel="0" collapsed="false">
      <c r="A133" s="1" t="n">
        <v>132</v>
      </c>
      <c r="B133" s="7" t="n">
        <v>45946</v>
      </c>
      <c r="C133" s="7" t="n">
        <v>45946</v>
      </c>
      <c r="D133" s="1" t="n">
        <v>0</v>
      </c>
    </row>
    <row r="134" customFormat="false" ht="15" hidden="false" customHeight="false" outlineLevel="0" collapsed="false">
      <c r="A134" s="1" t="n">
        <v>133</v>
      </c>
      <c r="B134" s="7" t="n">
        <v>45947</v>
      </c>
      <c r="C134" s="7" t="n">
        <v>45947</v>
      </c>
      <c r="D134" s="1" t="n">
        <v>0</v>
      </c>
    </row>
    <row r="135" customFormat="false" ht="15" hidden="false" customHeight="false" outlineLevel="0" collapsed="false">
      <c r="A135" s="1" t="n">
        <v>134</v>
      </c>
      <c r="B135" s="7" t="n">
        <v>45947</v>
      </c>
      <c r="C135" s="7" t="n">
        <v>45947</v>
      </c>
      <c r="D135" s="1" t="n">
        <v>0</v>
      </c>
    </row>
    <row r="136" customFormat="false" ht="15" hidden="false" customHeight="false" outlineLevel="0" collapsed="false">
      <c r="A136" s="1" t="n">
        <v>135</v>
      </c>
      <c r="B136" s="7" t="n">
        <v>45947</v>
      </c>
      <c r="C136" s="7" t="n">
        <v>45947</v>
      </c>
      <c r="D136" s="1" t="n">
        <v>0</v>
      </c>
    </row>
    <row r="137" customFormat="false" ht="15" hidden="false" customHeight="false" outlineLevel="0" collapsed="false">
      <c r="A137" s="1" t="n">
        <v>136</v>
      </c>
      <c r="B137" s="7" t="n">
        <v>45948</v>
      </c>
      <c r="C137" s="7" t="n">
        <v>45948</v>
      </c>
      <c r="D137" s="1" t="n">
        <v>0</v>
      </c>
    </row>
    <row r="138" customFormat="false" ht="15" hidden="false" customHeight="false" outlineLevel="0" collapsed="false">
      <c r="A138" s="1" t="n">
        <v>137</v>
      </c>
      <c r="B138" s="7" t="n">
        <v>45948</v>
      </c>
      <c r="C138" s="7" t="n">
        <v>45948</v>
      </c>
      <c r="D138" s="1" t="n">
        <v>0</v>
      </c>
    </row>
    <row r="139" customFormat="false" ht="15" hidden="false" customHeight="false" outlineLevel="0" collapsed="false">
      <c r="A139" s="1" t="n">
        <v>138</v>
      </c>
      <c r="B139" s="7" t="n">
        <v>45948</v>
      </c>
      <c r="C139" s="7" t="n">
        <v>45948</v>
      </c>
      <c r="D139" s="1" t="n">
        <v>0</v>
      </c>
    </row>
    <row r="140" customFormat="false" ht="15" hidden="false" customHeight="false" outlineLevel="0" collapsed="false">
      <c r="A140" s="1" t="n">
        <v>139</v>
      </c>
      <c r="B140" s="7" t="n">
        <v>45949</v>
      </c>
      <c r="C140" s="7" t="n">
        <v>45949</v>
      </c>
      <c r="D140" s="1" t="n">
        <v>0</v>
      </c>
    </row>
    <row r="141" customFormat="false" ht="15" hidden="false" customHeight="false" outlineLevel="0" collapsed="false">
      <c r="A141" s="1" t="n">
        <v>140</v>
      </c>
      <c r="B141" s="7" t="n">
        <v>45949</v>
      </c>
      <c r="C141" s="7" t="n">
        <v>45949</v>
      </c>
      <c r="D141" s="1" t="n">
        <v>0</v>
      </c>
    </row>
    <row r="142" customFormat="false" ht="15" hidden="false" customHeight="false" outlineLevel="0" collapsed="false">
      <c r="A142" s="1" t="n">
        <v>141</v>
      </c>
      <c r="B142" s="7" t="n">
        <v>45949</v>
      </c>
      <c r="C142" s="7" t="n">
        <v>45949</v>
      </c>
      <c r="D142" s="1" t="n">
        <v>0</v>
      </c>
    </row>
    <row r="143" customFormat="false" ht="15" hidden="false" customHeight="false" outlineLevel="0" collapsed="false">
      <c r="A143" s="1" t="n">
        <v>142</v>
      </c>
      <c r="B143" s="7" t="n">
        <v>45949</v>
      </c>
      <c r="C143" s="7" t="n">
        <v>45949</v>
      </c>
      <c r="D143" s="1" t="n">
        <v>0</v>
      </c>
    </row>
    <row r="144" customFormat="false" ht="15" hidden="false" customHeight="false" outlineLevel="0" collapsed="false">
      <c r="A144" s="1" t="n">
        <v>143</v>
      </c>
      <c r="B144" s="7" t="n">
        <v>45950</v>
      </c>
      <c r="C144" s="7" t="n">
        <v>45950</v>
      </c>
      <c r="D144" s="1" t="n">
        <v>0</v>
      </c>
    </row>
    <row r="145" customFormat="false" ht="15" hidden="false" customHeight="false" outlineLevel="0" collapsed="false">
      <c r="A145" s="1" t="n">
        <v>144</v>
      </c>
      <c r="B145" s="7" t="n">
        <v>45950</v>
      </c>
      <c r="C145" s="7" t="n">
        <v>45950</v>
      </c>
      <c r="D145" s="1" t="n">
        <v>0</v>
      </c>
    </row>
    <row r="146" customFormat="false" ht="15" hidden="false" customHeight="false" outlineLevel="0" collapsed="false">
      <c r="A146" s="1" t="n">
        <v>145</v>
      </c>
      <c r="B146" s="7" t="n">
        <v>45951</v>
      </c>
      <c r="C146" s="7" t="n">
        <v>45951</v>
      </c>
      <c r="D146" s="1" t="n">
        <v>0</v>
      </c>
    </row>
    <row r="147" customFormat="false" ht="15" hidden="false" customHeight="false" outlineLevel="0" collapsed="false">
      <c r="A147" s="1" t="n">
        <v>146</v>
      </c>
      <c r="B147" s="7" t="n">
        <v>45951</v>
      </c>
      <c r="C147" s="7" t="n">
        <v>45951</v>
      </c>
      <c r="D147" s="1" t="n">
        <v>0</v>
      </c>
    </row>
    <row r="148" customFormat="false" ht="15" hidden="false" customHeight="false" outlineLevel="0" collapsed="false">
      <c r="A148" s="1" t="n">
        <v>147</v>
      </c>
      <c r="B148" s="7" t="n">
        <v>45951</v>
      </c>
      <c r="C148" s="7" t="n">
        <v>45951</v>
      </c>
      <c r="D148" s="1" t="n">
        <v>0</v>
      </c>
    </row>
    <row r="149" customFormat="false" ht="15" hidden="false" customHeight="false" outlineLevel="0" collapsed="false">
      <c r="A149" s="1" t="n">
        <v>148</v>
      </c>
      <c r="B149" s="7" t="n">
        <v>45952</v>
      </c>
      <c r="C149" s="7" t="n">
        <v>45952</v>
      </c>
      <c r="D149" s="1" t="n">
        <v>0</v>
      </c>
    </row>
    <row r="150" customFormat="false" ht="15" hidden="false" customHeight="false" outlineLevel="0" collapsed="false">
      <c r="A150" s="1" t="n">
        <v>149</v>
      </c>
      <c r="B150" s="7" t="n">
        <v>45952</v>
      </c>
      <c r="C150" s="7" t="n">
        <v>45952</v>
      </c>
      <c r="D150" s="1" t="n">
        <v>0</v>
      </c>
    </row>
    <row r="151" customFormat="false" ht="15" hidden="false" customHeight="false" outlineLevel="0" collapsed="false">
      <c r="A151" s="1" t="n">
        <v>150</v>
      </c>
      <c r="B151" s="7" t="n">
        <v>45952</v>
      </c>
      <c r="C151" s="7" t="n">
        <v>45952</v>
      </c>
      <c r="D151" s="1" t="n">
        <v>0</v>
      </c>
    </row>
    <row r="152" customFormat="false" ht="15" hidden="false" customHeight="false" outlineLevel="0" collapsed="false">
      <c r="A152" s="1" t="n">
        <v>151</v>
      </c>
      <c r="B152" s="7" t="n">
        <v>45953</v>
      </c>
      <c r="C152" s="7" t="n">
        <v>45953</v>
      </c>
      <c r="D152" s="1" t="n">
        <v>0</v>
      </c>
    </row>
    <row r="153" customFormat="false" ht="15" hidden="false" customHeight="false" outlineLevel="0" collapsed="false">
      <c r="A153" s="1" t="n">
        <v>152</v>
      </c>
      <c r="B153" s="7" t="n">
        <v>45953</v>
      </c>
      <c r="C153" s="7" t="n">
        <v>45953</v>
      </c>
      <c r="D153" s="1" t="n">
        <v>0</v>
      </c>
    </row>
    <row r="154" customFormat="false" ht="15" hidden="false" customHeight="false" outlineLevel="0" collapsed="false">
      <c r="A154" s="1" t="n">
        <v>153</v>
      </c>
      <c r="B154" s="7" t="n">
        <v>45954</v>
      </c>
      <c r="C154" s="7" t="n">
        <v>45954</v>
      </c>
      <c r="D154" s="1" t="n">
        <v>0</v>
      </c>
    </row>
    <row r="155" customFormat="false" ht="15" hidden="false" customHeight="false" outlineLevel="0" collapsed="false">
      <c r="A155" s="1" t="n">
        <v>154</v>
      </c>
      <c r="B155" s="7" t="n">
        <v>45954</v>
      </c>
      <c r="C155" s="7" t="n">
        <v>45954</v>
      </c>
      <c r="D155" s="1" t="n">
        <v>0</v>
      </c>
    </row>
    <row r="156" customFormat="false" ht="15" hidden="false" customHeight="false" outlineLevel="0" collapsed="false">
      <c r="A156" s="1" t="n">
        <v>155</v>
      </c>
      <c r="B156" s="7" t="n">
        <v>45954</v>
      </c>
      <c r="C156" s="7" t="n">
        <v>45954</v>
      </c>
      <c r="D156" s="1" t="n">
        <v>0</v>
      </c>
    </row>
    <row r="157" customFormat="false" ht="15" hidden="false" customHeight="false" outlineLevel="0" collapsed="false">
      <c r="A157" s="1" t="n">
        <v>156</v>
      </c>
      <c r="B157" s="7" t="n">
        <v>45955</v>
      </c>
      <c r="C157" s="7" t="n">
        <v>45955</v>
      </c>
      <c r="D157" s="1" t="n">
        <v>0</v>
      </c>
    </row>
    <row r="158" customFormat="false" ht="15" hidden="false" customHeight="false" outlineLevel="0" collapsed="false">
      <c r="A158" s="1" t="n">
        <v>157</v>
      </c>
      <c r="B158" s="7" t="n">
        <v>45955</v>
      </c>
      <c r="C158" s="7" t="n">
        <v>45955</v>
      </c>
      <c r="D158" s="1" t="n">
        <v>0</v>
      </c>
    </row>
    <row r="159" customFormat="false" ht="15" hidden="false" customHeight="false" outlineLevel="0" collapsed="false">
      <c r="A159" s="1" t="n">
        <v>158</v>
      </c>
      <c r="B159" s="7" t="n">
        <v>45955</v>
      </c>
      <c r="C159" s="7" t="n">
        <v>45955</v>
      </c>
      <c r="D159" s="1" t="n">
        <v>0</v>
      </c>
    </row>
    <row r="160" customFormat="false" ht="15" hidden="false" customHeight="false" outlineLevel="0" collapsed="false">
      <c r="A160" s="1" t="n">
        <v>159</v>
      </c>
      <c r="B160" s="7" t="n">
        <v>45956</v>
      </c>
      <c r="C160" s="7" t="n">
        <v>45956</v>
      </c>
      <c r="D160" s="1" t="n">
        <v>0</v>
      </c>
    </row>
    <row r="161" customFormat="false" ht="15" hidden="false" customHeight="false" outlineLevel="0" collapsed="false">
      <c r="A161" s="1" t="n">
        <v>160</v>
      </c>
      <c r="B161" s="7" t="n">
        <v>45956</v>
      </c>
      <c r="C161" s="7" t="n">
        <v>45956</v>
      </c>
      <c r="D161" s="1" t="n">
        <v>0</v>
      </c>
    </row>
    <row r="162" customFormat="false" ht="15" hidden="false" customHeight="false" outlineLevel="0" collapsed="false">
      <c r="A162" s="1" t="n">
        <v>161</v>
      </c>
      <c r="B162" s="7" t="n">
        <v>45956</v>
      </c>
      <c r="C162" s="7" t="n">
        <v>45956</v>
      </c>
      <c r="D162" s="1" t="n">
        <v>0</v>
      </c>
    </row>
    <row r="163" customFormat="false" ht="15" hidden="false" customHeight="false" outlineLevel="0" collapsed="false">
      <c r="A163" s="1" t="n">
        <v>162</v>
      </c>
      <c r="B163" s="7" t="n">
        <v>45957</v>
      </c>
      <c r="C163" s="7" t="n">
        <v>45957</v>
      </c>
      <c r="D163" s="1" t="n">
        <v>0</v>
      </c>
    </row>
    <row r="164" customFormat="false" ht="15" hidden="false" customHeight="false" outlineLevel="0" collapsed="false">
      <c r="A164" s="1" t="n">
        <v>163</v>
      </c>
      <c r="B164" s="7" t="n">
        <v>45957</v>
      </c>
      <c r="C164" s="7" t="n">
        <v>45957</v>
      </c>
      <c r="D164" s="1" t="n">
        <v>0</v>
      </c>
    </row>
    <row r="165" customFormat="false" ht="15" hidden="false" customHeight="false" outlineLevel="0" collapsed="false">
      <c r="A165" s="1" t="n">
        <v>164</v>
      </c>
      <c r="B165" s="7" t="n">
        <v>45958</v>
      </c>
      <c r="C165" s="7" t="n">
        <v>45958</v>
      </c>
      <c r="D165" s="1" t="n">
        <v>0</v>
      </c>
    </row>
    <row r="166" customFormat="false" ht="15" hidden="false" customHeight="false" outlineLevel="0" collapsed="false">
      <c r="A166" s="1" t="n">
        <v>165</v>
      </c>
      <c r="B166" s="7" t="n">
        <v>45958</v>
      </c>
      <c r="C166" s="7" t="n">
        <v>45958</v>
      </c>
      <c r="D166" s="1" t="n">
        <v>0</v>
      </c>
    </row>
    <row r="167" customFormat="false" ht="15" hidden="false" customHeight="false" outlineLevel="0" collapsed="false">
      <c r="A167" s="1" t="n">
        <v>166</v>
      </c>
      <c r="B167" s="7" t="n">
        <v>45958</v>
      </c>
      <c r="C167" s="7" t="n">
        <v>45958</v>
      </c>
      <c r="D167" s="1" t="n">
        <v>0</v>
      </c>
    </row>
    <row r="168" customFormat="false" ht="15" hidden="false" customHeight="false" outlineLevel="0" collapsed="false">
      <c r="A168" s="1" t="n">
        <v>167</v>
      </c>
      <c r="B168" s="7" t="n">
        <v>45959</v>
      </c>
      <c r="C168" s="7" t="n">
        <v>45959</v>
      </c>
      <c r="D168" s="1" t="n">
        <v>0</v>
      </c>
    </row>
    <row r="169" customFormat="false" ht="15" hidden="false" customHeight="false" outlineLevel="0" collapsed="false">
      <c r="A169" s="1" t="n">
        <v>168</v>
      </c>
      <c r="B169" s="7" t="n">
        <v>45959</v>
      </c>
      <c r="C169" s="7" t="n">
        <v>45959</v>
      </c>
      <c r="D169" s="1" t="n">
        <v>0</v>
      </c>
    </row>
    <row r="170" customFormat="false" ht="15" hidden="false" customHeight="false" outlineLevel="0" collapsed="false">
      <c r="A170" s="1" t="n">
        <v>169</v>
      </c>
      <c r="B170" s="7" t="n">
        <v>45959</v>
      </c>
      <c r="C170" s="7" t="n">
        <v>45959</v>
      </c>
      <c r="D170" s="1" t="n">
        <v>0</v>
      </c>
    </row>
    <row r="171" customFormat="false" ht="15" hidden="false" customHeight="false" outlineLevel="0" collapsed="false">
      <c r="A171" s="1" t="n">
        <v>170</v>
      </c>
      <c r="B171" s="7" t="n">
        <v>45960</v>
      </c>
      <c r="C171" s="7" t="n">
        <v>45960</v>
      </c>
      <c r="D171" s="1" t="n">
        <v>0</v>
      </c>
    </row>
    <row r="172" customFormat="false" ht="15" hidden="false" customHeight="false" outlineLevel="0" collapsed="false">
      <c r="A172" s="1" t="n">
        <v>171</v>
      </c>
      <c r="B172" s="7" t="n">
        <v>45960</v>
      </c>
      <c r="C172" s="7" t="n">
        <v>45960</v>
      </c>
      <c r="D172" s="1" t="n">
        <v>0</v>
      </c>
    </row>
    <row r="173" customFormat="false" ht="15" hidden="false" customHeight="false" outlineLevel="0" collapsed="false">
      <c r="A173" s="1" t="n">
        <v>172</v>
      </c>
      <c r="B173" s="7" t="n">
        <v>45960</v>
      </c>
      <c r="C173" s="7" t="n">
        <v>45960</v>
      </c>
      <c r="D173" s="1" t="n">
        <v>0</v>
      </c>
    </row>
    <row r="174" customFormat="false" ht="15" hidden="false" customHeight="false" outlineLevel="0" collapsed="false">
      <c r="A174" s="1" t="n">
        <v>173</v>
      </c>
      <c r="B174" s="7" t="n">
        <v>45961</v>
      </c>
      <c r="C174" s="7" t="n">
        <v>45961</v>
      </c>
      <c r="D174" s="1" t="n">
        <v>0</v>
      </c>
    </row>
    <row r="175" customFormat="false" ht="15" hidden="false" customHeight="false" outlineLevel="0" collapsed="false">
      <c r="A175" s="1" t="n">
        <v>174</v>
      </c>
      <c r="B175" s="7" t="n">
        <v>45961</v>
      </c>
      <c r="C175" s="7" t="n">
        <v>45961</v>
      </c>
      <c r="D175" s="1" t="n">
        <v>0</v>
      </c>
    </row>
    <row r="176" customFormat="false" ht="15" hidden="false" customHeight="false" outlineLevel="0" collapsed="false">
      <c r="A176" s="1" t="n">
        <v>175</v>
      </c>
      <c r="B176" s="7" t="n">
        <v>45961</v>
      </c>
      <c r="C176" s="7" t="n">
        <v>45961</v>
      </c>
      <c r="D176" s="1" t="n">
        <v>0</v>
      </c>
    </row>
    <row r="177" customFormat="false" ht="15" hidden="false" customHeight="false" outlineLevel="0" collapsed="false">
      <c r="A177" s="1" t="n">
        <v>176</v>
      </c>
      <c r="B177" s="7" t="n">
        <v>45962</v>
      </c>
      <c r="C177" s="7" t="n">
        <v>45962</v>
      </c>
      <c r="D177" s="1" t="n">
        <v>0</v>
      </c>
    </row>
    <row r="178" customFormat="false" ht="15" hidden="false" customHeight="false" outlineLevel="0" collapsed="false">
      <c r="A178" s="1" t="n">
        <v>177</v>
      </c>
      <c r="B178" s="7" t="n">
        <v>45962</v>
      </c>
      <c r="C178" s="7" t="n">
        <v>45962</v>
      </c>
      <c r="D178" s="1" t="n">
        <v>0</v>
      </c>
    </row>
    <row r="179" customFormat="false" ht="15" hidden="false" customHeight="false" outlineLevel="0" collapsed="false">
      <c r="A179" s="1" t="n">
        <v>178</v>
      </c>
      <c r="B179" s="7" t="n">
        <v>45963</v>
      </c>
      <c r="C179" s="7" t="n">
        <v>45963</v>
      </c>
      <c r="D179" s="1" t="n">
        <v>0</v>
      </c>
    </row>
    <row r="180" customFormat="false" ht="15" hidden="false" customHeight="false" outlineLevel="0" collapsed="false">
      <c r="A180" s="1" t="n">
        <v>179</v>
      </c>
      <c r="B180" s="7" t="n">
        <v>45963</v>
      </c>
      <c r="C180" s="7" t="n">
        <v>45963</v>
      </c>
      <c r="D180" s="1" t="n">
        <v>0</v>
      </c>
    </row>
    <row r="181" customFormat="false" ht="15" hidden="false" customHeight="false" outlineLevel="0" collapsed="false">
      <c r="A181" s="1" t="n">
        <v>180</v>
      </c>
      <c r="B181" s="7" t="n">
        <v>45963</v>
      </c>
      <c r="C181" s="7" t="n">
        <v>45963</v>
      </c>
      <c r="D181" s="1" t="n">
        <v>0</v>
      </c>
    </row>
    <row r="182" customFormat="false" ht="15" hidden="false" customHeight="false" outlineLevel="0" collapsed="false">
      <c r="A182" s="1" t="n">
        <v>181</v>
      </c>
      <c r="B182" s="7" t="n">
        <v>45964</v>
      </c>
      <c r="C182" s="7" t="n">
        <v>45964</v>
      </c>
      <c r="D182" s="1" t="n">
        <v>0</v>
      </c>
    </row>
    <row r="183" customFormat="false" ht="15" hidden="false" customHeight="false" outlineLevel="0" collapsed="false">
      <c r="A183" s="1" t="n">
        <v>182</v>
      </c>
      <c r="B183" s="7" t="n">
        <v>45964</v>
      </c>
      <c r="C183" s="7" t="n">
        <v>45964</v>
      </c>
      <c r="D183" s="1" t="n">
        <v>0</v>
      </c>
    </row>
    <row r="184" customFormat="false" ht="15" hidden="false" customHeight="false" outlineLevel="0" collapsed="false">
      <c r="A184" s="1" t="n">
        <v>183</v>
      </c>
      <c r="B184" s="7" t="n">
        <v>45964</v>
      </c>
      <c r="C184" s="7" t="n">
        <v>45964</v>
      </c>
      <c r="D184" s="1" t="n">
        <v>0</v>
      </c>
    </row>
    <row r="185" customFormat="false" ht="15" hidden="false" customHeight="false" outlineLevel="0" collapsed="false">
      <c r="A185" s="1" t="n">
        <v>184</v>
      </c>
      <c r="B185" s="7" t="n">
        <v>45965</v>
      </c>
      <c r="C185" s="7" t="n">
        <v>45965</v>
      </c>
      <c r="D185" s="1" t="n">
        <v>0</v>
      </c>
    </row>
    <row r="186" customFormat="false" ht="15" hidden="false" customHeight="false" outlineLevel="0" collapsed="false">
      <c r="A186" s="1" t="n">
        <v>185</v>
      </c>
      <c r="B186" s="7" t="n">
        <v>45965</v>
      </c>
      <c r="C186" s="7" t="n">
        <v>45965</v>
      </c>
      <c r="D186" s="1" t="n">
        <v>0</v>
      </c>
    </row>
    <row r="187" customFormat="false" ht="15" hidden="false" customHeight="false" outlineLevel="0" collapsed="false">
      <c r="A187" s="1" t="n">
        <v>186</v>
      </c>
      <c r="B187" s="7" t="n">
        <v>45966</v>
      </c>
      <c r="C187" s="7" t="n">
        <v>45966</v>
      </c>
      <c r="D187" s="1" t="n">
        <v>0</v>
      </c>
    </row>
    <row r="188" customFormat="false" ht="15" hidden="false" customHeight="false" outlineLevel="0" collapsed="false">
      <c r="A188" s="1" t="n">
        <v>187</v>
      </c>
      <c r="B188" s="7" t="n">
        <v>45966</v>
      </c>
      <c r="C188" s="7" t="n">
        <v>45966</v>
      </c>
      <c r="D188" s="1" t="n">
        <v>0</v>
      </c>
    </row>
    <row r="189" customFormat="false" ht="15" hidden="false" customHeight="false" outlineLevel="0" collapsed="false">
      <c r="A189" s="1" t="n">
        <v>188</v>
      </c>
      <c r="B189" s="7" t="n">
        <v>45966</v>
      </c>
      <c r="C189" s="7" t="n">
        <v>45966</v>
      </c>
      <c r="D189" s="1" t="n">
        <v>0</v>
      </c>
    </row>
    <row r="190" customFormat="false" ht="15" hidden="false" customHeight="false" outlineLevel="0" collapsed="false">
      <c r="A190" s="1" t="n">
        <v>189</v>
      </c>
      <c r="B190" s="7" t="n">
        <v>45966</v>
      </c>
      <c r="C190" s="7" t="n">
        <v>45966</v>
      </c>
      <c r="D190" s="1" t="n">
        <v>0</v>
      </c>
    </row>
    <row r="191" customFormat="false" ht="15" hidden="false" customHeight="false" outlineLevel="0" collapsed="false">
      <c r="A191" s="1" t="n">
        <v>190</v>
      </c>
      <c r="B191" s="7" t="n">
        <v>45967</v>
      </c>
      <c r="C191" s="7" t="n">
        <v>45967</v>
      </c>
      <c r="D191" s="1" t="n">
        <v>0</v>
      </c>
    </row>
    <row r="192" customFormat="false" ht="15" hidden="false" customHeight="false" outlineLevel="0" collapsed="false">
      <c r="A192" s="1" t="n">
        <v>191</v>
      </c>
      <c r="B192" s="7" t="n">
        <v>45967</v>
      </c>
      <c r="C192" s="7" t="n">
        <v>45967</v>
      </c>
      <c r="D192" s="1" t="n">
        <v>0</v>
      </c>
    </row>
    <row r="193" customFormat="false" ht="15" hidden="false" customHeight="false" outlineLevel="0" collapsed="false">
      <c r="A193" s="1" t="n">
        <v>192</v>
      </c>
      <c r="B193" s="7" t="n">
        <v>45967</v>
      </c>
      <c r="C193" s="7" t="n">
        <v>45967</v>
      </c>
      <c r="D193" s="1" t="n">
        <v>0</v>
      </c>
    </row>
    <row r="194" customFormat="false" ht="15" hidden="false" customHeight="false" outlineLevel="0" collapsed="false">
      <c r="A194" s="1" t="n">
        <v>193</v>
      </c>
      <c r="B194" s="7" t="n">
        <v>45968</v>
      </c>
      <c r="C194" s="7" t="n">
        <v>45968</v>
      </c>
      <c r="D194" s="1" t="n">
        <v>1</v>
      </c>
    </row>
    <row r="195" customFormat="false" ht="15" hidden="false" customHeight="false" outlineLevel="0" collapsed="false">
      <c r="A195" s="1" t="n">
        <v>194</v>
      </c>
      <c r="B195" s="7" t="n">
        <v>45968</v>
      </c>
      <c r="C195" s="7" t="n">
        <v>45968</v>
      </c>
      <c r="D195" s="1" t="n">
        <v>0</v>
      </c>
    </row>
    <row r="196" customFormat="false" ht="15" hidden="false" customHeight="false" outlineLevel="0" collapsed="false">
      <c r="A196" s="1" t="n">
        <v>195</v>
      </c>
      <c r="B196" s="7" t="n">
        <v>45968</v>
      </c>
      <c r="C196" s="7" t="n">
        <v>45968</v>
      </c>
      <c r="D196" s="1" t="n">
        <v>0</v>
      </c>
    </row>
    <row r="197" customFormat="false" ht="15" hidden="false" customHeight="false" outlineLevel="0" collapsed="false">
      <c r="A197" s="1" t="n">
        <v>196</v>
      </c>
      <c r="B197" s="7" t="n">
        <v>45969</v>
      </c>
      <c r="C197" s="7" t="n">
        <v>45969</v>
      </c>
      <c r="D197" s="1" t="n">
        <v>0</v>
      </c>
    </row>
    <row r="198" customFormat="false" ht="15" hidden="false" customHeight="false" outlineLevel="0" collapsed="false">
      <c r="A198" s="1" t="n">
        <v>197</v>
      </c>
      <c r="B198" s="7" t="n">
        <v>45969</v>
      </c>
      <c r="C198" s="7" t="n">
        <v>45969</v>
      </c>
      <c r="D198" s="1" t="n">
        <v>0</v>
      </c>
    </row>
    <row r="199" customFormat="false" ht="15" hidden="false" customHeight="false" outlineLevel="0" collapsed="false">
      <c r="A199" s="1" t="n">
        <v>198</v>
      </c>
      <c r="B199" s="7" t="n">
        <v>45969</v>
      </c>
      <c r="C199" s="7" t="n">
        <v>45969</v>
      </c>
      <c r="D199" s="1" t="n">
        <v>0</v>
      </c>
    </row>
    <row r="200" customFormat="false" ht="15" hidden="false" customHeight="false" outlineLevel="0" collapsed="false">
      <c r="A200" s="1" t="n">
        <v>199</v>
      </c>
      <c r="B200" s="7" t="n">
        <v>45970</v>
      </c>
      <c r="C200" s="7" t="n">
        <v>45970</v>
      </c>
      <c r="D200" s="1" t="n">
        <v>0</v>
      </c>
    </row>
    <row r="201" customFormat="false" ht="15" hidden="false" customHeight="false" outlineLevel="0" collapsed="false">
      <c r="A201" s="1" t="n">
        <v>200</v>
      </c>
      <c r="B201" s="7" t="n">
        <v>45970</v>
      </c>
      <c r="C201" s="7" t="n">
        <v>45970</v>
      </c>
      <c r="D201" s="1" t="n">
        <v>0</v>
      </c>
    </row>
    <row r="202" customFormat="false" ht="15" hidden="false" customHeight="false" outlineLevel="0" collapsed="false">
      <c r="A202" s="1" t="n">
        <v>201</v>
      </c>
      <c r="B202" s="7" t="n">
        <v>45970</v>
      </c>
      <c r="C202" s="7" t="n">
        <v>45970</v>
      </c>
      <c r="D202" s="1" t="n">
        <v>0</v>
      </c>
    </row>
    <row r="203" customFormat="false" ht="15" hidden="false" customHeight="false" outlineLevel="0" collapsed="false">
      <c r="A203" s="1" t="n">
        <v>202</v>
      </c>
      <c r="B203" s="7" t="n">
        <v>45971</v>
      </c>
      <c r="C203" s="7" t="n">
        <v>45971</v>
      </c>
      <c r="D203" s="1" t="n">
        <v>0</v>
      </c>
    </row>
    <row r="204" customFormat="false" ht="15" hidden="false" customHeight="false" outlineLevel="0" collapsed="false">
      <c r="A204" s="1" t="n">
        <v>203</v>
      </c>
      <c r="B204" s="7" t="n">
        <v>45971</v>
      </c>
      <c r="C204" s="7" t="n">
        <v>45971</v>
      </c>
      <c r="D204" s="1" t="n">
        <v>0</v>
      </c>
    </row>
    <row r="205" customFormat="false" ht="15" hidden="false" customHeight="false" outlineLevel="0" collapsed="false">
      <c r="A205" s="1" t="n">
        <v>204</v>
      </c>
      <c r="B205" s="7" t="n">
        <v>45971</v>
      </c>
      <c r="C205" s="7" t="n">
        <v>45971</v>
      </c>
      <c r="D205" s="1" t="n">
        <v>0</v>
      </c>
    </row>
    <row r="206" customFormat="false" ht="15" hidden="false" customHeight="false" outlineLevel="0" collapsed="false">
      <c r="A206" s="1" t="n">
        <v>205</v>
      </c>
      <c r="B206" s="7" t="n">
        <v>45972</v>
      </c>
      <c r="C206" s="7" t="n">
        <v>45972</v>
      </c>
      <c r="D206" s="1" t="n">
        <v>0</v>
      </c>
    </row>
    <row r="207" customFormat="false" ht="15" hidden="false" customHeight="false" outlineLevel="0" collapsed="false">
      <c r="A207" s="1" t="n">
        <v>206</v>
      </c>
      <c r="B207" s="7" t="n">
        <v>45972</v>
      </c>
      <c r="C207" s="7" t="n">
        <v>45972</v>
      </c>
      <c r="D207" s="1" t="n">
        <v>0</v>
      </c>
    </row>
    <row r="208" customFormat="false" ht="15" hidden="false" customHeight="false" outlineLevel="0" collapsed="false">
      <c r="A208" s="1" t="n">
        <v>207</v>
      </c>
      <c r="B208" s="7" t="n">
        <v>45973</v>
      </c>
      <c r="C208" s="7" t="n">
        <v>45973</v>
      </c>
      <c r="D208" s="1" t="n">
        <v>0</v>
      </c>
    </row>
    <row r="209" customFormat="false" ht="15" hidden="false" customHeight="false" outlineLevel="0" collapsed="false">
      <c r="A209" s="1" t="n">
        <v>208</v>
      </c>
      <c r="B209" s="7" t="n">
        <v>45973</v>
      </c>
      <c r="C209" s="7" t="n">
        <v>45973</v>
      </c>
      <c r="D209" s="1" t="n">
        <v>0</v>
      </c>
    </row>
    <row r="210" customFormat="false" ht="15" hidden="false" customHeight="false" outlineLevel="0" collapsed="false">
      <c r="A210" s="1" t="n">
        <v>209</v>
      </c>
      <c r="B210" s="7" t="n">
        <v>45973</v>
      </c>
      <c r="C210" s="7" t="n">
        <v>45973</v>
      </c>
      <c r="D210" s="1" t="n">
        <v>0</v>
      </c>
    </row>
    <row r="211" customFormat="false" ht="15" hidden="false" customHeight="false" outlineLevel="0" collapsed="false">
      <c r="A211" s="1" t="n">
        <v>210</v>
      </c>
      <c r="B211" s="7" t="n">
        <v>45974</v>
      </c>
      <c r="C211" s="7" t="n">
        <v>45974</v>
      </c>
      <c r="D211" s="1" t="n">
        <v>0</v>
      </c>
    </row>
    <row r="212" customFormat="false" ht="15" hidden="false" customHeight="false" outlineLevel="0" collapsed="false">
      <c r="A212" s="1" t="n">
        <v>211</v>
      </c>
      <c r="B212" s="7" t="n">
        <v>45974</v>
      </c>
      <c r="C212" s="7" t="n">
        <v>45974</v>
      </c>
      <c r="D212" s="1" t="n">
        <v>0</v>
      </c>
    </row>
    <row r="213" customFormat="false" ht="15" hidden="false" customHeight="false" outlineLevel="0" collapsed="false">
      <c r="A213" s="1" t="n">
        <v>212</v>
      </c>
      <c r="B213" s="7" t="n">
        <v>45975</v>
      </c>
      <c r="C213" s="7" t="n">
        <v>45975</v>
      </c>
      <c r="D213" s="1" t="n">
        <v>0</v>
      </c>
    </row>
    <row r="214" customFormat="false" ht="15" hidden="false" customHeight="false" outlineLevel="0" collapsed="false">
      <c r="A214" s="1" t="n">
        <v>213</v>
      </c>
      <c r="B214" s="7" t="n">
        <v>45975</v>
      </c>
      <c r="C214" s="7" t="n">
        <v>45975</v>
      </c>
      <c r="D214" s="1" t="n">
        <v>0</v>
      </c>
    </row>
    <row r="215" customFormat="false" ht="15" hidden="false" customHeight="false" outlineLevel="0" collapsed="false">
      <c r="A215" s="1" t="n">
        <v>214</v>
      </c>
      <c r="B215" s="7" t="n">
        <v>45975</v>
      </c>
      <c r="C215" s="7" t="n">
        <v>45975</v>
      </c>
      <c r="D215" s="1" t="n">
        <v>0</v>
      </c>
    </row>
    <row r="216" customFormat="false" ht="15" hidden="false" customHeight="false" outlineLevel="0" collapsed="false">
      <c r="A216" s="1" t="n">
        <v>215</v>
      </c>
      <c r="B216" s="7" t="n">
        <v>45976</v>
      </c>
      <c r="C216" s="7" t="n">
        <v>45976</v>
      </c>
      <c r="D216" s="1" t="n">
        <v>0</v>
      </c>
    </row>
    <row r="217" customFormat="false" ht="15" hidden="false" customHeight="false" outlineLevel="0" collapsed="false">
      <c r="A217" s="1" t="n">
        <v>216</v>
      </c>
      <c r="B217" s="7" t="n">
        <v>45976</v>
      </c>
      <c r="C217" s="7" t="n">
        <v>45976</v>
      </c>
      <c r="D217" s="1" t="n">
        <v>0</v>
      </c>
    </row>
    <row r="218" customFormat="false" ht="15" hidden="false" customHeight="false" outlineLevel="0" collapsed="false">
      <c r="A218" s="1" t="n">
        <v>217</v>
      </c>
      <c r="B218" s="7" t="n">
        <v>45976</v>
      </c>
      <c r="C218" s="7" t="n">
        <v>45976</v>
      </c>
      <c r="D218" s="1" t="n">
        <v>0</v>
      </c>
    </row>
    <row r="219" customFormat="false" ht="15" hidden="false" customHeight="false" outlineLevel="0" collapsed="false">
      <c r="A219" s="1" t="n">
        <v>218</v>
      </c>
      <c r="B219" s="7" t="n">
        <v>45977</v>
      </c>
      <c r="C219" s="7" t="n">
        <v>45977</v>
      </c>
      <c r="D219" s="1" t="n">
        <v>0</v>
      </c>
    </row>
    <row r="220" customFormat="false" ht="15" hidden="false" customHeight="false" outlineLevel="0" collapsed="false">
      <c r="A220" s="1" t="n">
        <v>219</v>
      </c>
      <c r="B220" s="7" t="n">
        <v>45977</v>
      </c>
      <c r="C220" s="7" t="n">
        <v>45977</v>
      </c>
      <c r="D220" s="1" t="n">
        <v>0</v>
      </c>
    </row>
    <row r="221" customFormat="false" ht="15" hidden="false" customHeight="false" outlineLevel="0" collapsed="false">
      <c r="A221" s="1" t="n">
        <v>220</v>
      </c>
      <c r="B221" s="7" t="n">
        <v>45977</v>
      </c>
      <c r="C221" s="7" t="n">
        <v>45977</v>
      </c>
      <c r="D221" s="1" t="n">
        <v>0</v>
      </c>
    </row>
    <row r="222" customFormat="false" ht="15" hidden="false" customHeight="false" outlineLevel="0" collapsed="false">
      <c r="A222" s="1" t="n">
        <v>221</v>
      </c>
      <c r="B222" s="7" t="n">
        <v>45978</v>
      </c>
      <c r="C222" s="7" t="n">
        <v>45978</v>
      </c>
      <c r="D222" s="1" t="n">
        <v>0</v>
      </c>
    </row>
    <row r="223" customFormat="false" ht="15" hidden="false" customHeight="false" outlineLevel="0" collapsed="false">
      <c r="A223" s="1" t="n">
        <v>222</v>
      </c>
      <c r="B223" s="7" t="n">
        <v>45978</v>
      </c>
      <c r="C223" s="7" t="n">
        <v>45978</v>
      </c>
      <c r="D223" s="1" t="n">
        <v>0</v>
      </c>
    </row>
    <row r="224" customFormat="false" ht="15" hidden="false" customHeight="false" outlineLevel="0" collapsed="false">
      <c r="A224" s="1" t="n">
        <v>223</v>
      </c>
      <c r="B224" s="7" t="n">
        <v>45978</v>
      </c>
      <c r="C224" s="7" t="n">
        <v>45978</v>
      </c>
      <c r="D224" s="1" t="n">
        <v>0</v>
      </c>
    </row>
    <row r="225" customFormat="false" ht="15" hidden="false" customHeight="false" outlineLevel="0" collapsed="false">
      <c r="A225" s="1" t="n">
        <v>224</v>
      </c>
      <c r="B225" s="7" t="n">
        <v>45979</v>
      </c>
      <c r="C225" s="7" t="n">
        <v>45979</v>
      </c>
      <c r="D225" s="1" t="n">
        <v>0</v>
      </c>
    </row>
    <row r="226" customFormat="false" ht="15" hidden="false" customHeight="false" outlineLevel="0" collapsed="false">
      <c r="A226" s="1" t="n">
        <v>225</v>
      </c>
      <c r="B226" s="7" t="n">
        <v>45979</v>
      </c>
      <c r="C226" s="7" t="n">
        <v>45979</v>
      </c>
      <c r="D226" s="1" t="n">
        <v>0</v>
      </c>
    </row>
    <row r="227" customFormat="false" ht="15" hidden="false" customHeight="false" outlineLevel="0" collapsed="false">
      <c r="A227" s="1" t="n">
        <v>226</v>
      </c>
      <c r="B227" s="7" t="n">
        <v>45979</v>
      </c>
      <c r="C227" s="7" t="n">
        <v>45979</v>
      </c>
      <c r="D227" s="1" t="n">
        <v>0</v>
      </c>
    </row>
    <row r="228" customFormat="false" ht="15" hidden="false" customHeight="false" outlineLevel="0" collapsed="false">
      <c r="A228" s="1" t="n">
        <v>227</v>
      </c>
      <c r="B228" s="7" t="n">
        <v>45980</v>
      </c>
      <c r="C228" s="7" t="n">
        <v>45980</v>
      </c>
      <c r="D228" s="1" t="n">
        <v>0</v>
      </c>
    </row>
    <row r="229" customFormat="false" ht="15" hidden="false" customHeight="false" outlineLevel="0" collapsed="false">
      <c r="A229" s="1" t="n">
        <v>228</v>
      </c>
      <c r="B229" s="7" t="n">
        <v>45980</v>
      </c>
      <c r="C229" s="7" t="n">
        <v>45980</v>
      </c>
      <c r="D229" s="1" t="n">
        <v>0</v>
      </c>
    </row>
    <row r="230" customFormat="false" ht="15" hidden="false" customHeight="false" outlineLevel="0" collapsed="false">
      <c r="A230" s="1" t="n">
        <v>229</v>
      </c>
      <c r="B230" s="7" t="n">
        <v>45980</v>
      </c>
      <c r="C230" s="7" t="n">
        <v>45980</v>
      </c>
      <c r="D230" s="1" t="n">
        <v>0</v>
      </c>
    </row>
    <row r="231" customFormat="false" ht="15" hidden="false" customHeight="false" outlineLevel="0" collapsed="false">
      <c r="A231" s="1" t="n">
        <v>230</v>
      </c>
      <c r="B231" s="7" t="n">
        <v>45981</v>
      </c>
      <c r="C231" s="7" t="n">
        <v>45981</v>
      </c>
      <c r="D231" s="1" t="n">
        <v>1</v>
      </c>
    </row>
    <row r="232" customFormat="false" ht="15" hidden="false" customHeight="false" outlineLevel="0" collapsed="false">
      <c r="A232" s="1" t="n">
        <v>231</v>
      </c>
      <c r="B232" s="7" t="n">
        <v>45981</v>
      </c>
      <c r="C232" s="7" t="n">
        <v>45981</v>
      </c>
      <c r="D232" s="1" t="n">
        <v>0</v>
      </c>
    </row>
    <row r="233" customFormat="false" ht="15" hidden="false" customHeight="false" outlineLevel="0" collapsed="false">
      <c r="A233" s="1" t="n">
        <v>232</v>
      </c>
      <c r="B233" s="7" t="n">
        <v>45981</v>
      </c>
      <c r="C233" s="7" t="n">
        <v>45981</v>
      </c>
      <c r="D233" s="1" t="n">
        <v>0</v>
      </c>
    </row>
    <row r="234" customFormat="false" ht="15" hidden="false" customHeight="false" outlineLevel="0" collapsed="false">
      <c r="A234" s="1" t="n">
        <v>233</v>
      </c>
      <c r="B234" s="7" t="n">
        <v>45982</v>
      </c>
      <c r="C234" s="7" t="n">
        <v>45982</v>
      </c>
      <c r="D234" s="1" t="n">
        <v>0</v>
      </c>
    </row>
    <row r="235" customFormat="false" ht="15" hidden="false" customHeight="false" outlineLevel="0" collapsed="false">
      <c r="A235" s="1" t="n">
        <v>234</v>
      </c>
      <c r="B235" s="7" t="n">
        <v>45982</v>
      </c>
      <c r="C235" s="7" t="n">
        <v>45982</v>
      </c>
      <c r="D235" s="1" t="n">
        <v>0</v>
      </c>
    </row>
    <row r="236" customFormat="false" ht="15" hidden="false" customHeight="false" outlineLevel="0" collapsed="false">
      <c r="A236" s="1" t="n">
        <v>235</v>
      </c>
      <c r="B236" s="7" t="n">
        <v>45982</v>
      </c>
      <c r="C236" s="7" t="n">
        <v>45982</v>
      </c>
      <c r="D236" s="1" t="n">
        <v>0</v>
      </c>
    </row>
    <row r="237" customFormat="false" ht="15" hidden="false" customHeight="false" outlineLevel="0" collapsed="false">
      <c r="A237" s="1" t="n">
        <v>236</v>
      </c>
      <c r="B237" s="7" t="n">
        <v>45983</v>
      </c>
      <c r="C237" s="7" t="n">
        <v>45983</v>
      </c>
      <c r="D237" s="1" t="n">
        <v>1</v>
      </c>
    </row>
    <row r="238" customFormat="false" ht="15" hidden="false" customHeight="false" outlineLevel="0" collapsed="false">
      <c r="A238" s="1" t="n">
        <v>237</v>
      </c>
      <c r="B238" s="7" t="n">
        <v>45983</v>
      </c>
      <c r="C238" s="7" t="n">
        <v>45983</v>
      </c>
      <c r="D238" s="1" t="n">
        <v>0</v>
      </c>
    </row>
    <row r="239" customFormat="false" ht="15" hidden="false" customHeight="false" outlineLevel="0" collapsed="false">
      <c r="A239" s="1" t="n">
        <v>238</v>
      </c>
      <c r="B239" s="7" t="n">
        <v>45984</v>
      </c>
      <c r="C239" s="7" t="n">
        <v>45984</v>
      </c>
      <c r="D239" s="1" t="n">
        <v>0</v>
      </c>
    </row>
    <row r="240" customFormat="false" ht="15" hidden="false" customHeight="false" outlineLevel="0" collapsed="false">
      <c r="A240" s="1" t="n">
        <v>239</v>
      </c>
      <c r="B240" s="7" t="n">
        <v>45984</v>
      </c>
      <c r="C240" s="7" t="n">
        <v>45984</v>
      </c>
      <c r="D240" s="1" t="n">
        <v>0</v>
      </c>
    </row>
    <row r="241" customFormat="false" ht="15" hidden="false" customHeight="false" outlineLevel="0" collapsed="false">
      <c r="A241" s="1" t="n">
        <v>240</v>
      </c>
      <c r="B241" s="7" t="n">
        <v>45984</v>
      </c>
      <c r="C241" s="7" t="n">
        <v>45984</v>
      </c>
      <c r="D241" s="1" t="n">
        <v>0</v>
      </c>
    </row>
    <row r="242" customFormat="false" ht="15" hidden="false" customHeight="false" outlineLevel="0" collapsed="false">
      <c r="A242" s="1" t="n">
        <v>241</v>
      </c>
      <c r="B242" s="7" t="n">
        <v>45985</v>
      </c>
      <c r="C242" s="7" t="n">
        <v>45985</v>
      </c>
      <c r="D242" s="1" t="n">
        <v>0</v>
      </c>
    </row>
    <row r="243" customFormat="false" ht="15" hidden="false" customHeight="false" outlineLevel="0" collapsed="false">
      <c r="A243" s="1" t="n">
        <v>242</v>
      </c>
      <c r="B243" s="7" t="n">
        <v>45985</v>
      </c>
      <c r="C243" s="7" t="n">
        <v>45985</v>
      </c>
      <c r="D243" s="1" t="n">
        <v>0</v>
      </c>
    </row>
    <row r="244" customFormat="false" ht="15" hidden="false" customHeight="false" outlineLevel="0" collapsed="false">
      <c r="A244" s="1" t="n">
        <v>243</v>
      </c>
      <c r="B244" s="7" t="n">
        <v>45985</v>
      </c>
      <c r="C244" s="7" t="n">
        <v>45985</v>
      </c>
      <c r="D244" s="1" t="n">
        <v>0</v>
      </c>
    </row>
    <row r="245" customFormat="false" ht="15" hidden="false" customHeight="false" outlineLevel="0" collapsed="false">
      <c r="A245" s="1" t="n">
        <v>244</v>
      </c>
      <c r="B245" s="7" t="n">
        <v>45986</v>
      </c>
      <c r="C245" s="7" t="n">
        <v>45986</v>
      </c>
      <c r="D245" s="1" t="n">
        <v>0</v>
      </c>
    </row>
    <row r="246" customFormat="false" ht="15" hidden="false" customHeight="false" outlineLevel="0" collapsed="false">
      <c r="A246" s="1" t="n">
        <v>245</v>
      </c>
      <c r="B246" s="7" t="n">
        <v>45986</v>
      </c>
      <c r="C246" s="7" t="n">
        <v>45986</v>
      </c>
      <c r="D246" s="1" t="n">
        <v>0</v>
      </c>
    </row>
    <row r="247" customFormat="false" ht="15" hidden="false" customHeight="false" outlineLevel="0" collapsed="false">
      <c r="A247" s="1" t="n">
        <v>246</v>
      </c>
      <c r="B247" s="7" t="n">
        <v>45986</v>
      </c>
      <c r="C247" s="7" t="n">
        <v>45986</v>
      </c>
      <c r="D247" s="1" t="n">
        <v>0</v>
      </c>
    </row>
    <row r="248" customFormat="false" ht="15" hidden="false" customHeight="false" outlineLevel="0" collapsed="false">
      <c r="A248" s="1" t="n">
        <v>247</v>
      </c>
      <c r="B248" s="7" t="n">
        <v>45987</v>
      </c>
      <c r="C248" s="7" t="n">
        <v>45987</v>
      </c>
      <c r="D248" s="1" t="n">
        <v>0</v>
      </c>
    </row>
    <row r="249" customFormat="false" ht="15" hidden="false" customHeight="false" outlineLevel="0" collapsed="false">
      <c r="A249" s="1" t="n">
        <v>248</v>
      </c>
      <c r="B249" s="7" t="n">
        <v>45987</v>
      </c>
      <c r="C249" s="7" t="n">
        <v>45987</v>
      </c>
      <c r="D249" s="1" t="n">
        <v>0</v>
      </c>
    </row>
    <row r="250" customFormat="false" ht="15" hidden="false" customHeight="false" outlineLevel="0" collapsed="false">
      <c r="A250" s="1" t="n">
        <v>249</v>
      </c>
      <c r="B250" s="7" t="n">
        <v>45987</v>
      </c>
      <c r="C250" s="7" t="n">
        <v>45987</v>
      </c>
      <c r="D250" s="1" t="n">
        <v>0</v>
      </c>
    </row>
    <row r="251" customFormat="false" ht="15" hidden="false" customHeight="false" outlineLevel="0" collapsed="false">
      <c r="A251" s="1" t="n">
        <v>250</v>
      </c>
      <c r="B251" s="7" t="n">
        <v>45988</v>
      </c>
      <c r="C251" s="7" t="n">
        <v>45988</v>
      </c>
      <c r="D251" s="1" t="n">
        <v>0</v>
      </c>
    </row>
    <row r="252" customFormat="false" ht="15" hidden="false" customHeight="false" outlineLevel="0" collapsed="false">
      <c r="A252" s="1" t="n">
        <v>251</v>
      </c>
      <c r="B252" s="7" t="n">
        <v>45988</v>
      </c>
      <c r="C252" s="7" t="n">
        <v>45988</v>
      </c>
      <c r="D252" s="1" t="n">
        <v>0</v>
      </c>
    </row>
    <row r="253" customFormat="false" ht="15" hidden="false" customHeight="false" outlineLevel="0" collapsed="false">
      <c r="A253" s="1" t="n">
        <v>252</v>
      </c>
      <c r="B253" s="7" t="n">
        <v>45988</v>
      </c>
      <c r="C253" s="7" t="n">
        <v>45988</v>
      </c>
      <c r="D253" s="1" t="n">
        <v>0</v>
      </c>
    </row>
    <row r="254" customFormat="false" ht="15" hidden="false" customHeight="false" outlineLevel="0" collapsed="false">
      <c r="A254" s="1" t="n">
        <v>253</v>
      </c>
      <c r="B254" s="7" t="n">
        <v>45989</v>
      </c>
      <c r="C254" s="7" t="n">
        <v>45989</v>
      </c>
      <c r="D254" s="1" t="n">
        <v>0</v>
      </c>
    </row>
    <row r="255" customFormat="false" ht="15" hidden="false" customHeight="false" outlineLevel="0" collapsed="false">
      <c r="A255" s="1" t="n">
        <v>254</v>
      </c>
      <c r="B255" s="7" t="n">
        <v>45989</v>
      </c>
      <c r="C255" s="7" t="n">
        <v>45989</v>
      </c>
      <c r="D255" s="1" t="n">
        <v>0</v>
      </c>
    </row>
    <row r="256" customFormat="false" ht="15" hidden="false" customHeight="false" outlineLevel="0" collapsed="false">
      <c r="A256" s="1" t="n">
        <v>255</v>
      </c>
      <c r="B256" s="7" t="n">
        <v>45989</v>
      </c>
      <c r="C256" s="7" t="n">
        <v>45989</v>
      </c>
      <c r="D256" s="1" t="n">
        <v>0</v>
      </c>
    </row>
    <row r="257" customFormat="false" ht="15" hidden="false" customHeight="false" outlineLevel="0" collapsed="false">
      <c r="A257" s="1" t="n">
        <v>256</v>
      </c>
      <c r="B257" s="7" t="n">
        <v>45990</v>
      </c>
      <c r="C257" s="7" t="n">
        <v>45990</v>
      </c>
      <c r="D257" s="1" t="n">
        <v>0</v>
      </c>
    </row>
    <row r="258" customFormat="false" ht="15" hidden="false" customHeight="false" outlineLevel="0" collapsed="false">
      <c r="A258" s="1" t="n">
        <v>257</v>
      </c>
      <c r="B258" s="7" t="n">
        <v>45990</v>
      </c>
      <c r="C258" s="7" t="n">
        <v>45990</v>
      </c>
      <c r="D258" s="1" t="n">
        <v>0</v>
      </c>
    </row>
    <row r="259" customFormat="false" ht="15" hidden="false" customHeight="false" outlineLevel="0" collapsed="false">
      <c r="A259" s="1" t="n">
        <v>258</v>
      </c>
      <c r="B259" s="7" t="n">
        <v>45990</v>
      </c>
      <c r="C259" s="7" t="n">
        <v>45990</v>
      </c>
      <c r="D259" s="1" t="n">
        <v>0</v>
      </c>
    </row>
    <row r="260" customFormat="false" ht="15" hidden="false" customHeight="false" outlineLevel="0" collapsed="false">
      <c r="A260" s="1" t="n">
        <v>259</v>
      </c>
      <c r="B260" s="7" t="n">
        <v>45990</v>
      </c>
      <c r="C260" s="7" t="n">
        <v>45990</v>
      </c>
      <c r="D260" s="1" t="n">
        <v>0</v>
      </c>
    </row>
    <row r="261" customFormat="false" ht="15" hidden="false" customHeight="false" outlineLevel="0" collapsed="false">
      <c r="A261" s="1" t="n">
        <v>260</v>
      </c>
      <c r="B261" s="7" t="n">
        <v>45991</v>
      </c>
      <c r="C261" s="7" t="n">
        <v>45991</v>
      </c>
      <c r="D261" s="1" t="n">
        <v>0</v>
      </c>
    </row>
    <row r="262" customFormat="false" ht="15" hidden="false" customHeight="false" outlineLevel="0" collapsed="false">
      <c r="A262" s="1" t="n">
        <v>261</v>
      </c>
      <c r="B262" s="7" t="n">
        <v>45991</v>
      </c>
      <c r="C262" s="7" t="n">
        <v>45991</v>
      </c>
      <c r="D262" s="1" t="n">
        <v>0</v>
      </c>
    </row>
    <row r="263" customFormat="false" ht="15" hidden="false" customHeight="false" outlineLevel="0" collapsed="false">
      <c r="A263" s="1" t="n">
        <v>262</v>
      </c>
      <c r="B263" s="7" t="n">
        <v>45991</v>
      </c>
      <c r="C263" s="7" t="n">
        <v>45991</v>
      </c>
      <c r="D263" s="1" t="n">
        <v>0</v>
      </c>
    </row>
    <row r="264" customFormat="false" ht="15" hidden="false" customHeight="false" outlineLevel="0" collapsed="false">
      <c r="A264" s="1" t="n">
        <v>263</v>
      </c>
      <c r="B264" s="7" t="n">
        <v>45992</v>
      </c>
      <c r="C264" s="7" t="n">
        <v>45992</v>
      </c>
      <c r="D264" s="1" t="n">
        <v>0</v>
      </c>
    </row>
    <row r="265" customFormat="false" ht="15" hidden="false" customHeight="false" outlineLevel="0" collapsed="false">
      <c r="A265" s="1" t="n">
        <v>264</v>
      </c>
      <c r="B265" s="7" t="n">
        <v>45992</v>
      </c>
      <c r="C265" s="7" t="n">
        <v>45992</v>
      </c>
      <c r="D265" s="1" t="n">
        <v>0</v>
      </c>
    </row>
    <row r="266" customFormat="false" ht="15" hidden="false" customHeight="false" outlineLevel="0" collapsed="false">
      <c r="A266" s="1" t="n">
        <v>265</v>
      </c>
      <c r="B266" s="7" t="n">
        <v>45993</v>
      </c>
      <c r="C266" s="7" t="n">
        <v>45993</v>
      </c>
      <c r="D266" s="1" t="n">
        <v>0</v>
      </c>
    </row>
    <row r="267" customFormat="false" ht="15" hidden="false" customHeight="false" outlineLevel="0" collapsed="false">
      <c r="A267" s="1" t="n">
        <v>266</v>
      </c>
      <c r="B267" s="7" t="n">
        <v>45993</v>
      </c>
      <c r="C267" s="7" t="n">
        <v>45993</v>
      </c>
      <c r="D267" s="1" t="n">
        <v>0</v>
      </c>
    </row>
    <row r="268" customFormat="false" ht="15" hidden="false" customHeight="false" outlineLevel="0" collapsed="false">
      <c r="A268" s="1" t="n">
        <v>267</v>
      </c>
      <c r="B268" s="7" t="n">
        <v>45993</v>
      </c>
      <c r="C268" s="7" t="n">
        <v>45993</v>
      </c>
      <c r="D268" s="1" t="n">
        <v>0</v>
      </c>
    </row>
    <row r="269" customFormat="false" ht="15" hidden="false" customHeight="false" outlineLevel="0" collapsed="false">
      <c r="A269" s="1" t="n">
        <v>268</v>
      </c>
      <c r="B269" s="7" t="n">
        <v>45994</v>
      </c>
      <c r="C269" s="7" t="n">
        <v>45994</v>
      </c>
      <c r="D269" s="1" t="n">
        <v>0</v>
      </c>
    </row>
    <row r="270" customFormat="false" ht="15" hidden="false" customHeight="false" outlineLevel="0" collapsed="false">
      <c r="A270" s="1" t="n">
        <v>269</v>
      </c>
      <c r="B270" s="7" t="n">
        <v>45994</v>
      </c>
      <c r="C270" s="7" t="n">
        <v>45994</v>
      </c>
      <c r="D270" s="1" t="n">
        <v>0</v>
      </c>
    </row>
    <row r="271" customFormat="false" ht="15" hidden="false" customHeight="false" outlineLevel="0" collapsed="false">
      <c r="A271" s="1" t="n">
        <v>270</v>
      </c>
      <c r="B271" s="7" t="n">
        <v>45994</v>
      </c>
      <c r="C271" s="7" t="n">
        <v>45994</v>
      </c>
      <c r="D271" s="1" t="n">
        <v>0</v>
      </c>
    </row>
    <row r="272" customFormat="false" ht="15" hidden="false" customHeight="false" outlineLevel="0" collapsed="false">
      <c r="A272" s="1" t="n">
        <v>271</v>
      </c>
      <c r="B272" s="7" t="n">
        <v>45995</v>
      </c>
      <c r="C272" s="7" t="n">
        <v>45995</v>
      </c>
      <c r="D272" s="1" t="n">
        <v>0</v>
      </c>
    </row>
    <row r="273" customFormat="false" ht="15" hidden="false" customHeight="false" outlineLevel="0" collapsed="false">
      <c r="A273" s="1" t="n">
        <v>272</v>
      </c>
      <c r="B273" s="7" t="n">
        <v>45995</v>
      </c>
      <c r="C273" s="7" t="n">
        <v>45995</v>
      </c>
      <c r="D273" s="1" t="n">
        <v>0</v>
      </c>
    </row>
    <row r="274" customFormat="false" ht="15" hidden="false" customHeight="false" outlineLevel="0" collapsed="false">
      <c r="A274" s="1" t="n">
        <v>273</v>
      </c>
      <c r="B274" s="7" t="n">
        <v>45995</v>
      </c>
      <c r="C274" s="7" t="n">
        <v>45995</v>
      </c>
      <c r="D274" s="1" t="n">
        <v>0</v>
      </c>
    </row>
    <row r="275" customFormat="false" ht="15" hidden="false" customHeight="false" outlineLevel="0" collapsed="false">
      <c r="A275" s="1" t="n">
        <v>274</v>
      </c>
      <c r="B275" s="7" t="n">
        <v>45996</v>
      </c>
      <c r="C275" s="7" t="n">
        <v>45996</v>
      </c>
      <c r="D275" s="1" t="n">
        <v>0</v>
      </c>
    </row>
    <row r="276" customFormat="false" ht="15" hidden="false" customHeight="false" outlineLevel="0" collapsed="false">
      <c r="A276" s="1" t="n">
        <v>275</v>
      </c>
      <c r="B276" s="7" t="n">
        <v>45996</v>
      </c>
      <c r="C276" s="7" t="n">
        <v>45996</v>
      </c>
      <c r="D276" s="1" t="n">
        <v>0</v>
      </c>
    </row>
    <row r="277" customFormat="false" ht="15" hidden="false" customHeight="false" outlineLevel="0" collapsed="false">
      <c r="A277" s="1" t="n">
        <v>276</v>
      </c>
      <c r="B277" s="7" t="n">
        <v>45996</v>
      </c>
      <c r="C277" s="7" t="n">
        <v>45996</v>
      </c>
      <c r="D277" s="1" t="n">
        <v>0</v>
      </c>
    </row>
    <row r="278" customFormat="false" ht="15" hidden="false" customHeight="false" outlineLevel="0" collapsed="false">
      <c r="A278" s="1" t="n">
        <v>277</v>
      </c>
      <c r="B278" s="7" t="n">
        <v>45997</v>
      </c>
      <c r="C278" s="7" t="n">
        <v>45997</v>
      </c>
      <c r="D278" s="1" t="n">
        <v>0</v>
      </c>
    </row>
    <row r="279" customFormat="false" ht="15" hidden="false" customHeight="false" outlineLevel="0" collapsed="false">
      <c r="A279" s="1" t="n">
        <v>278</v>
      </c>
      <c r="B279" s="7" t="n">
        <v>45997</v>
      </c>
      <c r="C279" s="7" t="n">
        <v>45997</v>
      </c>
      <c r="D279" s="1" t="n">
        <v>0</v>
      </c>
    </row>
    <row r="280" customFormat="false" ht="15" hidden="false" customHeight="false" outlineLevel="0" collapsed="false">
      <c r="A280" s="1" t="n">
        <v>279</v>
      </c>
      <c r="B280" s="7" t="n">
        <v>45997</v>
      </c>
      <c r="C280" s="7" t="n">
        <v>45997</v>
      </c>
      <c r="D280" s="1" t="n">
        <v>0</v>
      </c>
    </row>
    <row r="281" customFormat="false" ht="15" hidden="false" customHeight="false" outlineLevel="0" collapsed="false">
      <c r="A281" s="1" t="n">
        <v>280</v>
      </c>
      <c r="B281" s="7" t="n">
        <v>45998</v>
      </c>
      <c r="C281" s="7" t="n">
        <v>45998</v>
      </c>
      <c r="D281" s="1" t="n">
        <v>0</v>
      </c>
    </row>
    <row r="282" customFormat="false" ht="15" hidden="false" customHeight="false" outlineLevel="0" collapsed="false">
      <c r="A282" s="1" t="n">
        <v>281</v>
      </c>
      <c r="B282" s="7" t="n">
        <v>45998</v>
      </c>
      <c r="C282" s="7" t="n">
        <v>45998</v>
      </c>
      <c r="D282" s="1" t="n">
        <v>0</v>
      </c>
    </row>
    <row r="283" customFormat="false" ht="15" hidden="false" customHeight="false" outlineLevel="0" collapsed="false">
      <c r="A283" s="1" t="n">
        <v>282</v>
      </c>
      <c r="B283" s="7" t="n">
        <v>45998</v>
      </c>
      <c r="C283" s="7" t="n">
        <v>45998</v>
      </c>
      <c r="D283" s="1" t="n">
        <v>0</v>
      </c>
    </row>
    <row r="284" customFormat="false" ht="15" hidden="false" customHeight="false" outlineLevel="0" collapsed="false">
      <c r="A284" s="1" t="n">
        <v>283</v>
      </c>
      <c r="B284" s="7" t="n">
        <v>45999</v>
      </c>
      <c r="C284" s="7" t="n">
        <v>45999</v>
      </c>
      <c r="D284" s="1" t="n">
        <v>0</v>
      </c>
    </row>
    <row r="285" customFormat="false" ht="15" hidden="false" customHeight="false" outlineLevel="0" collapsed="false">
      <c r="A285" s="1" t="n">
        <v>284</v>
      </c>
      <c r="B285" s="7" t="n">
        <v>45999</v>
      </c>
      <c r="C285" s="7" t="n">
        <v>45999</v>
      </c>
      <c r="D285" s="1" t="n">
        <v>0</v>
      </c>
    </row>
    <row r="286" customFormat="false" ht="15" hidden="false" customHeight="false" outlineLevel="0" collapsed="false">
      <c r="A286" s="1" t="n">
        <v>285</v>
      </c>
      <c r="B286" s="7" t="n">
        <v>46000</v>
      </c>
      <c r="C286" s="7" t="n">
        <v>46000</v>
      </c>
      <c r="D286" s="1" t="n">
        <v>0</v>
      </c>
    </row>
    <row r="287" customFormat="false" ht="15" hidden="false" customHeight="false" outlineLevel="0" collapsed="false">
      <c r="A287" s="1" t="n">
        <v>286</v>
      </c>
      <c r="B287" s="7" t="n">
        <v>46000</v>
      </c>
      <c r="C287" s="7" t="n">
        <v>46000</v>
      </c>
      <c r="D287" s="1" t="n">
        <v>0</v>
      </c>
    </row>
    <row r="288" customFormat="false" ht="15" hidden="false" customHeight="false" outlineLevel="0" collapsed="false">
      <c r="A288" s="1" t="n">
        <v>287</v>
      </c>
      <c r="B288" s="7" t="n">
        <v>46000</v>
      </c>
      <c r="C288" s="7" t="n">
        <v>46000</v>
      </c>
      <c r="D288" s="1" t="n">
        <v>0</v>
      </c>
    </row>
    <row r="289" customFormat="false" ht="15" hidden="false" customHeight="false" outlineLevel="0" collapsed="false">
      <c r="A289" s="1" t="n">
        <v>288</v>
      </c>
      <c r="B289" s="7" t="n">
        <v>46001</v>
      </c>
      <c r="C289" s="7" t="n">
        <v>46001</v>
      </c>
      <c r="D289" s="1" t="n">
        <v>0</v>
      </c>
    </row>
    <row r="290" customFormat="false" ht="15" hidden="false" customHeight="false" outlineLevel="0" collapsed="false">
      <c r="A290" s="1" t="n">
        <v>289</v>
      </c>
      <c r="B290" s="7" t="n">
        <v>46001</v>
      </c>
      <c r="C290" s="7" t="n">
        <v>46001</v>
      </c>
      <c r="D290" s="1" t="n">
        <v>0</v>
      </c>
    </row>
    <row r="291" customFormat="false" ht="15" hidden="false" customHeight="false" outlineLevel="0" collapsed="false">
      <c r="A291" s="1" t="n">
        <v>290</v>
      </c>
      <c r="B291" s="7" t="n">
        <v>46002</v>
      </c>
      <c r="C291" s="7" t="n">
        <v>46002</v>
      </c>
      <c r="D291" s="1" t="n">
        <v>0</v>
      </c>
    </row>
    <row r="292" customFormat="false" ht="15" hidden="false" customHeight="false" outlineLevel="0" collapsed="false">
      <c r="A292" s="1" t="n">
        <v>291</v>
      </c>
      <c r="B292" s="7" t="n">
        <v>46002</v>
      </c>
      <c r="C292" s="7" t="n">
        <v>46002</v>
      </c>
      <c r="D292" s="1" t="n">
        <v>0</v>
      </c>
    </row>
    <row r="293" customFormat="false" ht="15" hidden="false" customHeight="false" outlineLevel="0" collapsed="false">
      <c r="A293" s="1" t="n">
        <v>292</v>
      </c>
      <c r="B293" s="7" t="n">
        <v>46002</v>
      </c>
      <c r="C293" s="7" t="n">
        <v>46002</v>
      </c>
      <c r="D293" s="1" t="n">
        <v>0</v>
      </c>
    </row>
    <row r="294" customFormat="false" ht="15" hidden="false" customHeight="false" outlineLevel="0" collapsed="false">
      <c r="A294" s="1" t="n">
        <v>293</v>
      </c>
      <c r="B294" s="7" t="n">
        <v>46003</v>
      </c>
      <c r="C294" s="7" t="n">
        <v>46003</v>
      </c>
      <c r="D294" s="1" t="n">
        <v>0</v>
      </c>
    </row>
    <row r="295" customFormat="false" ht="15" hidden="false" customHeight="false" outlineLevel="0" collapsed="false">
      <c r="A295" s="1" t="n">
        <v>294</v>
      </c>
      <c r="B295" s="7" t="n">
        <v>46003</v>
      </c>
      <c r="C295" s="7" t="n">
        <v>46003</v>
      </c>
      <c r="D295" s="1" t="n">
        <v>0</v>
      </c>
    </row>
    <row r="296" customFormat="false" ht="15" hidden="false" customHeight="false" outlineLevel="0" collapsed="false">
      <c r="A296" s="1" t="n">
        <v>295</v>
      </c>
      <c r="B296" s="7" t="n">
        <v>46003</v>
      </c>
      <c r="C296" s="7" t="n">
        <v>46003</v>
      </c>
      <c r="D296" s="1" t="n">
        <v>0</v>
      </c>
    </row>
    <row r="297" customFormat="false" ht="15" hidden="false" customHeight="false" outlineLevel="0" collapsed="false">
      <c r="A297" s="1" t="n">
        <v>296</v>
      </c>
      <c r="B297" s="7" t="n">
        <v>46004</v>
      </c>
      <c r="C297" s="7" t="n">
        <v>46004</v>
      </c>
      <c r="D297" s="1" t="n">
        <v>0</v>
      </c>
    </row>
    <row r="298" customFormat="false" ht="15" hidden="false" customHeight="false" outlineLevel="0" collapsed="false">
      <c r="A298" s="1" t="n">
        <v>297</v>
      </c>
      <c r="B298" s="7" t="n">
        <v>46004</v>
      </c>
      <c r="C298" s="7" t="n">
        <v>46004</v>
      </c>
      <c r="D298" s="1" t="n">
        <v>0</v>
      </c>
    </row>
    <row r="299" customFormat="false" ht="15" hidden="false" customHeight="false" outlineLevel="0" collapsed="false">
      <c r="A299" s="1" t="n">
        <v>298</v>
      </c>
      <c r="B299" s="7" t="n">
        <v>46004</v>
      </c>
      <c r="C299" s="7" t="n">
        <v>46004</v>
      </c>
      <c r="D299" s="1" t="n">
        <v>0</v>
      </c>
    </row>
    <row r="300" customFormat="false" ht="15" hidden="false" customHeight="false" outlineLevel="0" collapsed="false">
      <c r="A300" s="1" t="n">
        <v>299</v>
      </c>
      <c r="B300" s="7" t="n">
        <v>46004</v>
      </c>
      <c r="C300" s="7" t="n">
        <v>46004</v>
      </c>
      <c r="D300" s="1" t="n">
        <v>0</v>
      </c>
    </row>
    <row r="301" customFormat="false" ht="15" hidden="false" customHeight="false" outlineLevel="0" collapsed="false">
      <c r="A301" s="1" t="n">
        <v>300</v>
      </c>
      <c r="B301" s="7" t="n">
        <v>46005</v>
      </c>
      <c r="C301" s="7" t="n">
        <v>46005</v>
      </c>
      <c r="D301" s="1" t="n">
        <v>0</v>
      </c>
    </row>
    <row r="302" customFormat="false" ht="15" hidden="false" customHeight="false" outlineLevel="0" collapsed="false">
      <c r="A302" s="1" t="n">
        <v>301</v>
      </c>
      <c r="B302" s="7" t="n">
        <v>46005</v>
      </c>
      <c r="C302" s="7" t="n">
        <v>46005</v>
      </c>
      <c r="D302" s="1" t="n">
        <v>0</v>
      </c>
    </row>
    <row r="303" customFormat="false" ht="15" hidden="false" customHeight="false" outlineLevel="0" collapsed="false">
      <c r="A303" s="1" t="n">
        <v>302</v>
      </c>
      <c r="B303" s="7" t="n">
        <v>46005</v>
      </c>
      <c r="C303" s="7" t="n">
        <v>46005</v>
      </c>
      <c r="D303" s="1" t="n">
        <v>0</v>
      </c>
    </row>
    <row r="304" customFormat="false" ht="15" hidden="false" customHeight="false" outlineLevel="0" collapsed="false">
      <c r="A304" s="1" t="n">
        <v>303</v>
      </c>
      <c r="B304" s="7" t="n">
        <v>46006</v>
      </c>
      <c r="C304" s="7" t="n">
        <v>46006</v>
      </c>
      <c r="D304" s="1" t="n">
        <v>0</v>
      </c>
    </row>
    <row r="305" customFormat="false" ht="15" hidden="false" customHeight="false" outlineLevel="0" collapsed="false">
      <c r="A305" s="1" t="n">
        <v>304</v>
      </c>
      <c r="B305" s="7" t="n">
        <v>46006</v>
      </c>
      <c r="C305" s="7" t="n">
        <v>46006</v>
      </c>
      <c r="D305" s="1" t="n">
        <v>0</v>
      </c>
    </row>
    <row r="306" customFormat="false" ht="15" hidden="false" customHeight="false" outlineLevel="0" collapsed="false">
      <c r="A306" s="1" t="n">
        <v>305</v>
      </c>
      <c r="B306" s="7" t="n">
        <v>46007</v>
      </c>
      <c r="C306" s="7" t="n">
        <v>46007</v>
      </c>
      <c r="D306" s="1" t="n">
        <v>0</v>
      </c>
    </row>
    <row r="307" customFormat="false" ht="15" hidden="false" customHeight="false" outlineLevel="0" collapsed="false">
      <c r="A307" s="1" t="n">
        <v>306</v>
      </c>
      <c r="B307" s="7" t="n">
        <v>46007</v>
      </c>
      <c r="C307" s="7" t="n">
        <v>46007</v>
      </c>
      <c r="D307" s="1" t="n">
        <v>0</v>
      </c>
    </row>
    <row r="308" customFormat="false" ht="15" hidden="false" customHeight="false" outlineLevel="0" collapsed="false">
      <c r="A308" s="1" t="n">
        <v>307</v>
      </c>
      <c r="B308" s="7" t="n">
        <v>46007</v>
      </c>
      <c r="C308" s="7" t="n">
        <v>46007</v>
      </c>
      <c r="D308" s="1" t="n">
        <v>0</v>
      </c>
    </row>
    <row r="309" customFormat="false" ht="15" hidden="false" customHeight="false" outlineLevel="0" collapsed="false">
      <c r="A309" s="1" t="n">
        <v>308</v>
      </c>
      <c r="B309" s="7" t="n">
        <v>46007</v>
      </c>
      <c r="C309" s="7" t="n">
        <v>46007</v>
      </c>
      <c r="D309" s="1" t="n">
        <v>0</v>
      </c>
    </row>
    <row r="310" customFormat="false" ht="15" hidden="false" customHeight="false" outlineLevel="0" collapsed="false">
      <c r="A310" s="1" t="n">
        <v>309</v>
      </c>
      <c r="B310" s="7" t="n">
        <v>46008</v>
      </c>
      <c r="C310" s="7" t="n">
        <v>46008</v>
      </c>
      <c r="D310" s="1" t="n">
        <v>0</v>
      </c>
    </row>
    <row r="311" customFormat="false" ht="15" hidden="false" customHeight="false" outlineLevel="0" collapsed="false">
      <c r="A311" s="1" t="n">
        <v>310</v>
      </c>
      <c r="B311" s="7" t="n">
        <v>46008</v>
      </c>
      <c r="C311" s="7" t="n">
        <v>46008</v>
      </c>
      <c r="D311" s="1" t="n">
        <v>0</v>
      </c>
    </row>
    <row r="312" customFormat="false" ht="15" hidden="false" customHeight="false" outlineLevel="0" collapsed="false">
      <c r="A312" s="1" t="n">
        <v>311</v>
      </c>
      <c r="B312" s="7" t="n">
        <v>46009</v>
      </c>
      <c r="C312" s="7" t="n">
        <v>46009</v>
      </c>
      <c r="D312" s="1" t="n">
        <v>0</v>
      </c>
    </row>
    <row r="313" customFormat="false" ht="15" hidden="false" customHeight="false" outlineLevel="0" collapsed="false">
      <c r="A313" s="1" t="n">
        <v>312</v>
      </c>
      <c r="B313" s="7" t="n">
        <v>46009</v>
      </c>
      <c r="C313" s="7" t="n">
        <v>46009</v>
      </c>
      <c r="D313" s="1" t="n">
        <v>1</v>
      </c>
    </row>
    <row r="314" customFormat="false" ht="15" hidden="false" customHeight="false" outlineLevel="0" collapsed="false">
      <c r="A314" s="1" t="n">
        <v>313</v>
      </c>
      <c r="B314" s="7" t="n">
        <v>46009</v>
      </c>
      <c r="C314" s="7" t="n">
        <v>46009</v>
      </c>
      <c r="D314" s="1" t="n">
        <v>0</v>
      </c>
    </row>
    <row r="315" customFormat="false" ht="15" hidden="false" customHeight="false" outlineLevel="0" collapsed="false">
      <c r="A315" s="1" t="n">
        <v>314</v>
      </c>
      <c r="B315" s="7" t="n">
        <v>46010</v>
      </c>
      <c r="C315" s="7" t="n">
        <v>46010</v>
      </c>
      <c r="D315" s="1" t="n">
        <v>0</v>
      </c>
    </row>
    <row r="316" customFormat="false" ht="15" hidden="false" customHeight="false" outlineLevel="0" collapsed="false">
      <c r="A316" s="1" t="n">
        <v>315</v>
      </c>
      <c r="B316" s="7" t="n">
        <v>46010</v>
      </c>
      <c r="C316" s="7" t="n">
        <v>46010</v>
      </c>
      <c r="D316" s="1" t="n">
        <v>0</v>
      </c>
    </row>
    <row r="317" customFormat="false" ht="15" hidden="false" customHeight="false" outlineLevel="0" collapsed="false">
      <c r="A317" s="1" t="n">
        <v>316</v>
      </c>
      <c r="B317" s="7" t="n">
        <v>46010</v>
      </c>
      <c r="C317" s="7" t="n">
        <v>46010</v>
      </c>
      <c r="D317" s="1" t="n">
        <v>0</v>
      </c>
    </row>
    <row r="318" customFormat="false" ht="15" hidden="false" customHeight="false" outlineLevel="0" collapsed="false">
      <c r="A318" s="1" t="n">
        <v>317</v>
      </c>
      <c r="B318" s="7" t="n">
        <v>46011</v>
      </c>
      <c r="C318" s="7" t="n">
        <v>46011</v>
      </c>
      <c r="D318" s="1" t="n">
        <v>0</v>
      </c>
    </row>
    <row r="319" customFormat="false" ht="15" hidden="false" customHeight="false" outlineLevel="0" collapsed="false">
      <c r="A319" s="1" t="n">
        <v>318</v>
      </c>
      <c r="B319" s="7" t="n">
        <v>46011</v>
      </c>
      <c r="C319" s="7" t="n">
        <v>46011</v>
      </c>
      <c r="D319" s="1" t="n">
        <v>0</v>
      </c>
    </row>
    <row r="320" customFormat="false" ht="15" hidden="false" customHeight="false" outlineLevel="0" collapsed="false">
      <c r="A320" s="1" t="n">
        <v>319</v>
      </c>
      <c r="B320" s="7" t="n">
        <v>46011</v>
      </c>
      <c r="C320" s="7" t="n">
        <v>46011</v>
      </c>
      <c r="D320" s="1" t="n">
        <v>0</v>
      </c>
    </row>
    <row r="321" customFormat="false" ht="15" hidden="false" customHeight="false" outlineLevel="0" collapsed="false">
      <c r="A321" s="1" t="n">
        <v>320</v>
      </c>
      <c r="B321" s="7" t="n">
        <v>46012</v>
      </c>
      <c r="C321" s="7" t="n">
        <v>46012</v>
      </c>
      <c r="D321" s="1" t="n">
        <v>0</v>
      </c>
    </row>
    <row r="322" customFormat="false" ht="15" hidden="false" customHeight="false" outlineLevel="0" collapsed="false">
      <c r="A322" s="1" t="n">
        <v>321</v>
      </c>
      <c r="B322" s="7" t="n">
        <v>46012</v>
      </c>
      <c r="C322" s="7" t="n">
        <v>46012</v>
      </c>
      <c r="D322" s="1" t="n">
        <v>0</v>
      </c>
    </row>
    <row r="323" customFormat="false" ht="15" hidden="false" customHeight="false" outlineLevel="0" collapsed="false">
      <c r="A323" s="1" t="n">
        <v>322</v>
      </c>
      <c r="B323" s="7" t="n">
        <v>46012</v>
      </c>
      <c r="C323" s="7" t="n">
        <v>46012</v>
      </c>
      <c r="D323" s="1" t="n">
        <v>0</v>
      </c>
    </row>
    <row r="324" customFormat="false" ht="15" hidden="false" customHeight="false" outlineLevel="0" collapsed="false">
      <c r="A324" s="1" t="n">
        <v>323</v>
      </c>
      <c r="B324" s="7" t="n">
        <v>46012</v>
      </c>
      <c r="C324" s="7" t="n">
        <v>46012</v>
      </c>
      <c r="D324" s="1" t="n">
        <v>0</v>
      </c>
    </row>
    <row r="325" customFormat="false" ht="15" hidden="false" customHeight="false" outlineLevel="0" collapsed="false">
      <c r="A325" s="1" t="n">
        <v>324</v>
      </c>
      <c r="B325" s="7" t="n">
        <v>46013</v>
      </c>
      <c r="C325" s="7" t="n">
        <v>46013</v>
      </c>
      <c r="D325" s="1" t="n">
        <v>0</v>
      </c>
    </row>
    <row r="326" customFormat="false" ht="15" hidden="false" customHeight="false" outlineLevel="0" collapsed="false">
      <c r="A326" s="1" t="n">
        <v>325</v>
      </c>
      <c r="B326" s="7" t="n">
        <v>46013</v>
      </c>
      <c r="C326" s="7" t="n">
        <v>46013</v>
      </c>
      <c r="D326" s="1" t="n">
        <v>0</v>
      </c>
    </row>
    <row r="327" customFormat="false" ht="15" hidden="false" customHeight="false" outlineLevel="0" collapsed="false">
      <c r="A327" s="1" t="n">
        <v>326</v>
      </c>
      <c r="B327" s="7" t="n">
        <v>46014</v>
      </c>
      <c r="C327" s="7" t="n">
        <v>46014</v>
      </c>
      <c r="D327" s="1" t="n">
        <v>0</v>
      </c>
    </row>
    <row r="328" customFormat="false" ht="15" hidden="false" customHeight="false" outlineLevel="0" collapsed="false">
      <c r="A328" s="1" t="n">
        <v>327</v>
      </c>
      <c r="B328" s="7" t="n">
        <v>46014</v>
      </c>
      <c r="C328" s="7" t="n">
        <v>46014</v>
      </c>
      <c r="D328" s="1" t="n">
        <v>0</v>
      </c>
    </row>
    <row r="329" customFormat="false" ht="15" hidden="false" customHeight="false" outlineLevel="0" collapsed="false">
      <c r="A329" s="1" t="n">
        <v>328</v>
      </c>
      <c r="B329" s="7" t="n">
        <v>46014</v>
      </c>
      <c r="C329" s="7" t="n">
        <v>46014</v>
      </c>
      <c r="D329" s="1" t="n">
        <v>0</v>
      </c>
    </row>
    <row r="330" customFormat="false" ht="15" hidden="false" customHeight="false" outlineLevel="0" collapsed="false">
      <c r="A330" s="1" t="n">
        <v>329</v>
      </c>
      <c r="B330" s="7" t="n">
        <v>46015</v>
      </c>
      <c r="C330" s="7" t="n">
        <v>46015</v>
      </c>
      <c r="D330" s="1" t="n">
        <v>0</v>
      </c>
    </row>
    <row r="331" customFormat="false" ht="15" hidden="false" customHeight="false" outlineLevel="0" collapsed="false">
      <c r="A331" s="1" t="n">
        <v>330</v>
      </c>
      <c r="B331" s="7" t="n">
        <v>46015</v>
      </c>
      <c r="C331" s="7" t="n">
        <v>46015</v>
      </c>
      <c r="D331" s="1" t="n">
        <v>0</v>
      </c>
    </row>
    <row r="332" customFormat="false" ht="15" hidden="false" customHeight="false" outlineLevel="0" collapsed="false">
      <c r="A332" s="1" t="n">
        <v>331</v>
      </c>
      <c r="B332" s="7" t="n">
        <v>46015</v>
      </c>
      <c r="C332" s="7" t="n">
        <v>46015</v>
      </c>
      <c r="D332" s="1" t="n">
        <v>0</v>
      </c>
    </row>
    <row r="333" customFormat="false" ht="15" hidden="false" customHeight="false" outlineLevel="0" collapsed="false">
      <c r="A333" s="1" t="n">
        <v>332</v>
      </c>
      <c r="B333" s="7" t="n">
        <v>46016</v>
      </c>
      <c r="C333" s="7" t="n">
        <v>46016</v>
      </c>
      <c r="D333" s="1" t="n">
        <v>0</v>
      </c>
    </row>
    <row r="334" customFormat="false" ht="15" hidden="false" customHeight="false" outlineLevel="0" collapsed="false">
      <c r="A334" s="1" t="n">
        <v>333</v>
      </c>
      <c r="B334" s="7" t="n">
        <v>46016</v>
      </c>
      <c r="C334" s="7" t="n">
        <v>46016</v>
      </c>
      <c r="D334" s="1" t="n">
        <v>0</v>
      </c>
    </row>
    <row r="335" customFormat="false" ht="15" hidden="false" customHeight="false" outlineLevel="0" collapsed="false">
      <c r="A335" s="1" t="n">
        <v>334</v>
      </c>
      <c r="B335" s="7" t="n">
        <v>46017</v>
      </c>
      <c r="C335" s="7" t="n">
        <v>46017</v>
      </c>
      <c r="D335" s="1" t="n">
        <v>0</v>
      </c>
    </row>
    <row r="336" customFormat="false" ht="15" hidden="false" customHeight="false" outlineLevel="0" collapsed="false">
      <c r="A336" s="1" t="n">
        <v>335</v>
      </c>
      <c r="B336" s="7" t="n">
        <v>46017</v>
      </c>
      <c r="C336" s="7" t="n">
        <v>46017</v>
      </c>
      <c r="D336" s="1" t="n">
        <v>1</v>
      </c>
    </row>
    <row r="337" customFormat="false" ht="15" hidden="false" customHeight="false" outlineLevel="0" collapsed="false">
      <c r="A337" s="1" t="n">
        <v>336</v>
      </c>
      <c r="B337" s="7" t="n">
        <v>46017</v>
      </c>
      <c r="C337" s="7" t="n">
        <v>46017</v>
      </c>
      <c r="D337" s="1" t="n">
        <v>0</v>
      </c>
    </row>
    <row r="338" customFormat="false" ht="15" hidden="false" customHeight="false" outlineLevel="0" collapsed="false">
      <c r="A338" s="1" t="n">
        <v>337</v>
      </c>
      <c r="B338" s="7" t="n">
        <v>46018</v>
      </c>
      <c r="C338" s="7" t="n">
        <v>46018</v>
      </c>
      <c r="D338" s="1" t="n">
        <v>0</v>
      </c>
    </row>
    <row r="339" customFormat="false" ht="15" hidden="false" customHeight="false" outlineLevel="0" collapsed="false">
      <c r="A339" s="1" t="n">
        <v>338</v>
      </c>
      <c r="B339" s="7" t="n">
        <v>46018</v>
      </c>
      <c r="C339" s="7" t="n">
        <v>46018</v>
      </c>
      <c r="D339" s="1" t="n">
        <v>0</v>
      </c>
    </row>
    <row r="340" customFormat="false" ht="15" hidden="false" customHeight="false" outlineLevel="0" collapsed="false">
      <c r="A340" s="1" t="n">
        <v>339</v>
      </c>
      <c r="B340" s="7" t="n">
        <v>46018</v>
      </c>
      <c r="C340" s="7" t="n">
        <v>46018</v>
      </c>
      <c r="D340" s="1" t="n">
        <v>0</v>
      </c>
    </row>
    <row r="341" customFormat="false" ht="15" hidden="false" customHeight="false" outlineLevel="0" collapsed="false">
      <c r="A341" s="1" t="n">
        <v>340</v>
      </c>
      <c r="B341" s="7" t="n">
        <v>46019</v>
      </c>
      <c r="C341" s="7" t="n">
        <v>46019</v>
      </c>
      <c r="D341" s="1" t="n">
        <v>0</v>
      </c>
    </row>
    <row r="342" customFormat="false" ht="15" hidden="false" customHeight="false" outlineLevel="0" collapsed="false">
      <c r="A342" s="1" t="n">
        <v>341</v>
      </c>
      <c r="B342" s="7" t="n">
        <v>46019</v>
      </c>
      <c r="C342" s="7" t="n">
        <v>46019</v>
      </c>
      <c r="D342" s="1" t="n">
        <v>0</v>
      </c>
    </row>
    <row r="343" customFormat="false" ht="15" hidden="false" customHeight="false" outlineLevel="0" collapsed="false">
      <c r="A343" s="1" t="n">
        <v>342</v>
      </c>
      <c r="B343" s="7" t="n">
        <v>46020</v>
      </c>
      <c r="C343" s="7" t="n">
        <v>46020</v>
      </c>
      <c r="D343" s="1" t="n">
        <v>0</v>
      </c>
    </row>
    <row r="344" customFormat="false" ht="15" hidden="false" customHeight="false" outlineLevel="0" collapsed="false">
      <c r="A344" s="1" t="n">
        <v>343</v>
      </c>
      <c r="B344" s="7" t="n">
        <v>46020</v>
      </c>
      <c r="C344" s="7" t="n">
        <v>46020</v>
      </c>
      <c r="D344" s="1" t="n">
        <v>0</v>
      </c>
    </row>
    <row r="345" customFormat="false" ht="15" hidden="false" customHeight="false" outlineLevel="0" collapsed="false">
      <c r="A345" s="1" t="n">
        <v>344</v>
      </c>
      <c r="B345" s="7" t="n">
        <v>46020</v>
      </c>
      <c r="C345" s="7" t="n">
        <v>46020</v>
      </c>
      <c r="D345" s="1" t="n">
        <v>0</v>
      </c>
    </row>
    <row r="346" customFormat="false" ht="15" hidden="false" customHeight="false" outlineLevel="0" collapsed="false">
      <c r="A346" s="1" t="n">
        <v>345</v>
      </c>
      <c r="B346" s="7" t="n">
        <v>46021</v>
      </c>
      <c r="C346" s="7" t="n">
        <v>46021</v>
      </c>
      <c r="D346" s="1" t="n">
        <v>0</v>
      </c>
    </row>
    <row r="347" customFormat="false" ht="15" hidden="false" customHeight="false" outlineLevel="0" collapsed="false">
      <c r="A347" s="1" t="n">
        <v>346</v>
      </c>
      <c r="B347" s="7" t="n">
        <v>46021</v>
      </c>
      <c r="C347" s="7" t="n">
        <v>46021</v>
      </c>
      <c r="D347" s="1" t="n">
        <v>0</v>
      </c>
    </row>
    <row r="348" customFormat="false" ht="15" hidden="false" customHeight="false" outlineLevel="0" collapsed="false">
      <c r="A348" s="1" t="n">
        <v>347</v>
      </c>
      <c r="B348" s="7" t="n">
        <v>46021</v>
      </c>
      <c r="C348" s="7" t="n">
        <v>46021</v>
      </c>
      <c r="D348" s="1" t="n">
        <v>0</v>
      </c>
    </row>
    <row r="349" customFormat="false" ht="15" hidden="false" customHeight="false" outlineLevel="0" collapsed="false">
      <c r="A349" s="1" t="n">
        <v>348</v>
      </c>
      <c r="B349" s="7" t="n">
        <v>46022</v>
      </c>
      <c r="C349" s="7" t="n">
        <v>46022</v>
      </c>
      <c r="D349" s="1" t="n">
        <v>0</v>
      </c>
    </row>
    <row r="350" customFormat="false" ht="15" hidden="false" customHeight="false" outlineLevel="0" collapsed="false">
      <c r="A350" s="1" t="n">
        <v>349</v>
      </c>
      <c r="B350" s="7" t="n">
        <v>46022</v>
      </c>
      <c r="C350" s="7" t="n">
        <v>46022</v>
      </c>
      <c r="D350" s="1" t="n">
        <v>0</v>
      </c>
    </row>
    <row r="351" customFormat="false" ht="15" hidden="false" customHeight="false" outlineLevel="0" collapsed="false">
      <c r="A351" s="1" t="n">
        <v>350</v>
      </c>
      <c r="B351" s="7" t="n">
        <v>46023</v>
      </c>
      <c r="C351" s="7" t="n">
        <v>46023</v>
      </c>
      <c r="D351" s="1" t="n">
        <v>0</v>
      </c>
    </row>
    <row r="352" customFormat="false" ht="15" hidden="false" customHeight="false" outlineLevel="0" collapsed="false">
      <c r="A352" s="1" t="n">
        <v>351</v>
      </c>
      <c r="B352" s="7" t="n">
        <v>46023</v>
      </c>
      <c r="C352" s="7" t="n">
        <v>46023</v>
      </c>
      <c r="D352" s="1" t="n">
        <v>0</v>
      </c>
    </row>
    <row r="353" customFormat="false" ht="15" hidden="false" customHeight="false" outlineLevel="0" collapsed="false">
      <c r="A353" s="1" t="n">
        <v>352</v>
      </c>
      <c r="B353" s="7" t="n">
        <v>46023</v>
      </c>
      <c r="C353" s="7" t="n">
        <v>46023</v>
      </c>
      <c r="D353" s="1" t="n">
        <v>0</v>
      </c>
    </row>
    <row r="354" customFormat="false" ht="15" hidden="false" customHeight="false" outlineLevel="0" collapsed="false">
      <c r="A354" s="1" t="n">
        <v>353</v>
      </c>
      <c r="B354" s="7" t="n">
        <v>46024</v>
      </c>
      <c r="C354" s="7" t="n">
        <v>46024</v>
      </c>
      <c r="D354" s="1" t="n">
        <v>0</v>
      </c>
    </row>
    <row r="355" customFormat="false" ht="15" hidden="false" customHeight="false" outlineLevel="0" collapsed="false">
      <c r="A355" s="1" t="n">
        <v>354</v>
      </c>
      <c r="B355" s="7" t="n">
        <v>46024</v>
      </c>
      <c r="C355" s="7" t="n">
        <v>46024</v>
      </c>
      <c r="D355" s="1" t="n">
        <v>0</v>
      </c>
    </row>
    <row r="356" customFormat="false" ht="15" hidden="false" customHeight="false" outlineLevel="0" collapsed="false">
      <c r="A356" s="1" t="n">
        <v>355</v>
      </c>
      <c r="B356" s="7" t="n">
        <v>46024</v>
      </c>
      <c r="C356" s="7" t="n">
        <v>46024</v>
      </c>
      <c r="D356" s="1" t="n">
        <v>0</v>
      </c>
    </row>
    <row r="357" customFormat="false" ht="15" hidden="false" customHeight="false" outlineLevel="0" collapsed="false">
      <c r="A357" s="1" t="n">
        <v>356</v>
      </c>
      <c r="B357" s="7" t="n">
        <v>46025</v>
      </c>
      <c r="C357" s="7" t="n">
        <v>46025</v>
      </c>
      <c r="D357" s="1" t="n">
        <v>0</v>
      </c>
    </row>
    <row r="358" customFormat="false" ht="15" hidden="false" customHeight="false" outlineLevel="0" collapsed="false">
      <c r="A358" s="1" t="n">
        <v>357</v>
      </c>
      <c r="B358" s="7" t="n">
        <v>46025</v>
      </c>
      <c r="C358" s="7" t="n">
        <v>46025</v>
      </c>
      <c r="D358" s="1" t="n">
        <v>0</v>
      </c>
    </row>
    <row r="359" customFormat="false" ht="15" hidden="false" customHeight="false" outlineLevel="0" collapsed="false">
      <c r="A359" s="1" t="n">
        <v>358</v>
      </c>
      <c r="B359" s="7" t="n">
        <v>46025</v>
      </c>
      <c r="C359" s="7" t="n">
        <v>46025</v>
      </c>
      <c r="D359" s="1" t="n">
        <v>0</v>
      </c>
    </row>
    <row r="360" customFormat="false" ht="15" hidden="false" customHeight="false" outlineLevel="0" collapsed="false">
      <c r="A360" s="1" t="n">
        <v>359</v>
      </c>
      <c r="B360" s="7" t="n">
        <v>46026</v>
      </c>
      <c r="C360" s="7" t="n">
        <v>46026</v>
      </c>
      <c r="D360" s="1" t="n">
        <v>0</v>
      </c>
    </row>
    <row r="361" customFormat="false" ht="15" hidden="false" customHeight="false" outlineLevel="0" collapsed="false">
      <c r="A361" s="1" t="n">
        <v>360</v>
      </c>
      <c r="B361" s="7" t="n">
        <v>46026</v>
      </c>
      <c r="C361" s="7" t="n">
        <v>46026</v>
      </c>
      <c r="D361" s="1" t="n">
        <v>0</v>
      </c>
    </row>
    <row r="362" customFormat="false" ht="15" hidden="false" customHeight="false" outlineLevel="0" collapsed="false">
      <c r="A362" s="1" t="n">
        <v>361</v>
      </c>
      <c r="B362" s="7" t="n">
        <v>46026</v>
      </c>
      <c r="C362" s="7" t="n">
        <v>46026</v>
      </c>
      <c r="D362" s="1" t="n">
        <v>0</v>
      </c>
    </row>
    <row r="363" customFormat="false" ht="15" hidden="false" customHeight="false" outlineLevel="0" collapsed="false">
      <c r="A363" s="1" t="n">
        <v>362</v>
      </c>
      <c r="B363" s="7" t="n">
        <v>46027</v>
      </c>
      <c r="C363" s="7" t="n">
        <v>46027</v>
      </c>
      <c r="D363" s="1" t="n">
        <v>0</v>
      </c>
    </row>
    <row r="364" customFormat="false" ht="15" hidden="false" customHeight="false" outlineLevel="0" collapsed="false">
      <c r="A364" s="1" t="n">
        <v>363</v>
      </c>
      <c r="B364" s="7" t="n">
        <v>46027</v>
      </c>
      <c r="C364" s="7" t="n">
        <v>46027</v>
      </c>
      <c r="D364" s="1" t="n">
        <v>0</v>
      </c>
    </row>
    <row r="365" customFormat="false" ht="15" hidden="false" customHeight="false" outlineLevel="0" collapsed="false">
      <c r="A365" s="1" t="n">
        <v>364</v>
      </c>
      <c r="B365" s="7" t="n">
        <v>46027</v>
      </c>
      <c r="C365" s="7" t="n">
        <v>46027</v>
      </c>
      <c r="D365" s="1" t="n">
        <v>0</v>
      </c>
    </row>
    <row r="366" customFormat="false" ht="15" hidden="false" customHeight="false" outlineLevel="0" collapsed="false">
      <c r="A366" s="1" t="n">
        <v>365</v>
      </c>
      <c r="B366" s="7" t="n">
        <v>46028</v>
      </c>
      <c r="C366" s="7" t="n">
        <v>46028</v>
      </c>
      <c r="D366" s="1" t="n">
        <v>0</v>
      </c>
    </row>
    <row r="367" customFormat="false" ht="15" hidden="false" customHeight="false" outlineLevel="0" collapsed="false">
      <c r="A367" s="1" t="n">
        <v>366</v>
      </c>
      <c r="B367" s="7" t="n">
        <v>46028</v>
      </c>
      <c r="C367" s="7" t="n">
        <v>46028</v>
      </c>
      <c r="D367" s="1" t="n">
        <v>0</v>
      </c>
    </row>
    <row r="368" customFormat="false" ht="15" hidden="false" customHeight="false" outlineLevel="0" collapsed="false">
      <c r="A368" s="1" t="n">
        <v>367</v>
      </c>
      <c r="B368" s="7" t="n">
        <v>46029</v>
      </c>
      <c r="C368" s="7" t="n">
        <v>46029</v>
      </c>
      <c r="D368" s="1" t="n">
        <v>0</v>
      </c>
    </row>
    <row r="369" customFormat="false" ht="15" hidden="false" customHeight="false" outlineLevel="0" collapsed="false">
      <c r="A369" s="1" t="n">
        <v>368</v>
      </c>
      <c r="B369" s="7" t="n">
        <v>46029</v>
      </c>
      <c r="C369" s="7" t="n">
        <v>46029</v>
      </c>
      <c r="D369" s="1" t="n">
        <v>0</v>
      </c>
    </row>
    <row r="370" customFormat="false" ht="15" hidden="false" customHeight="false" outlineLevel="0" collapsed="false">
      <c r="A370" s="1" t="n">
        <v>369</v>
      </c>
      <c r="B370" s="7" t="n">
        <v>46029</v>
      </c>
      <c r="C370" s="7" t="n">
        <v>46029</v>
      </c>
      <c r="D370" s="1" t="n">
        <v>0</v>
      </c>
    </row>
    <row r="371" customFormat="false" ht="15" hidden="false" customHeight="false" outlineLevel="0" collapsed="false">
      <c r="A371" s="1" t="n">
        <v>370</v>
      </c>
      <c r="B371" s="7" t="n">
        <v>46030</v>
      </c>
      <c r="C371" s="7" t="n">
        <v>46030</v>
      </c>
      <c r="D371" s="1" t="n">
        <v>0</v>
      </c>
    </row>
    <row r="372" customFormat="false" ht="15" hidden="false" customHeight="false" outlineLevel="0" collapsed="false">
      <c r="A372" s="1" t="n">
        <v>371</v>
      </c>
      <c r="B372" s="7" t="n">
        <v>46030</v>
      </c>
      <c r="C372" s="7" t="n">
        <v>46030</v>
      </c>
      <c r="D372" s="1" t="n">
        <v>0</v>
      </c>
    </row>
    <row r="373" customFormat="false" ht="15" hidden="false" customHeight="false" outlineLevel="0" collapsed="false">
      <c r="A373" s="1" t="n">
        <v>372</v>
      </c>
      <c r="B373" s="7" t="n">
        <v>46031</v>
      </c>
      <c r="C373" s="7" t="n">
        <v>46031</v>
      </c>
      <c r="D373" s="1" t="n">
        <v>0</v>
      </c>
    </row>
    <row r="374" customFormat="false" ht="15" hidden="false" customHeight="false" outlineLevel="0" collapsed="false">
      <c r="A374" s="1" t="n">
        <v>373</v>
      </c>
      <c r="B374" s="7" t="n">
        <v>46031</v>
      </c>
      <c r="C374" s="7" t="n">
        <v>46031</v>
      </c>
      <c r="D374" s="1" t="n">
        <v>0</v>
      </c>
    </row>
    <row r="375" customFormat="false" ht="15" hidden="false" customHeight="false" outlineLevel="0" collapsed="false">
      <c r="A375" s="1" t="n">
        <v>374</v>
      </c>
      <c r="B375" s="7" t="n">
        <v>46031</v>
      </c>
      <c r="C375" s="7" t="n">
        <v>46031</v>
      </c>
      <c r="D375" s="1" t="n">
        <v>0</v>
      </c>
    </row>
    <row r="376" customFormat="false" ht="15" hidden="false" customHeight="false" outlineLevel="0" collapsed="false">
      <c r="A376" s="1" t="n">
        <v>375</v>
      </c>
      <c r="B376" s="7" t="n">
        <v>46032</v>
      </c>
      <c r="C376" s="7" t="n">
        <v>46032</v>
      </c>
      <c r="D376" s="1" t="n">
        <v>0</v>
      </c>
    </row>
    <row r="377" customFormat="false" ht="15" hidden="false" customHeight="false" outlineLevel="0" collapsed="false">
      <c r="A377" s="1" t="n">
        <v>376</v>
      </c>
      <c r="B377" s="7" t="n">
        <v>46032</v>
      </c>
      <c r="C377" s="7" t="n">
        <v>46032</v>
      </c>
      <c r="D377" s="1" t="n">
        <v>0</v>
      </c>
    </row>
    <row r="378" customFormat="false" ht="15" hidden="false" customHeight="false" outlineLevel="0" collapsed="false">
      <c r="A378" s="1" t="n">
        <v>377</v>
      </c>
      <c r="B378" s="7" t="n">
        <v>46032</v>
      </c>
      <c r="C378" s="7" t="n">
        <v>46032</v>
      </c>
      <c r="D378" s="1" t="n">
        <v>0</v>
      </c>
    </row>
    <row r="379" customFormat="false" ht="15" hidden="false" customHeight="false" outlineLevel="0" collapsed="false">
      <c r="A379" s="1" t="n">
        <v>378</v>
      </c>
      <c r="B379" s="7" t="n">
        <v>46033</v>
      </c>
      <c r="C379" s="7" t="n">
        <v>46033</v>
      </c>
      <c r="D379" s="1" t="n">
        <v>0</v>
      </c>
    </row>
    <row r="380" customFormat="false" ht="15" hidden="false" customHeight="false" outlineLevel="0" collapsed="false">
      <c r="A380" s="1" t="n">
        <v>379</v>
      </c>
      <c r="B380" s="7" t="n">
        <v>46033</v>
      </c>
      <c r="C380" s="7" t="n">
        <v>46033</v>
      </c>
      <c r="D380" s="1" t="n">
        <v>0</v>
      </c>
    </row>
    <row r="381" customFormat="false" ht="15" hidden="false" customHeight="false" outlineLevel="0" collapsed="false">
      <c r="A381" s="1" t="n">
        <v>380</v>
      </c>
      <c r="B381" s="7" t="n">
        <v>46034</v>
      </c>
      <c r="C381" s="7" t="n">
        <v>46034</v>
      </c>
      <c r="D381" s="1" t="n">
        <v>0</v>
      </c>
    </row>
    <row r="382" customFormat="false" ht="15" hidden="false" customHeight="false" outlineLevel="0" collapsed="false">
      <c r="A382" s="1" t="n">
        <v>381</v>
      </c>
      <c r="B382" s="7" t="n">
        <v>46034</v>
      </c>
      <c r="C382" s="7" t="n">
        <v>46034</v>
      </c>
      <c r="D382" s="1" t="n">
        <v>0</v>
      </c>
    </row>
    <row r="383" customFormat="false" ht="15" hidden="false" customHeight="false" outlineLevel="0" collapsed="false">
      <c r="A383" s="1" t="n">
        <v>382</v>
      </c>
      <c r="B383" s="7" t="n">
        <v>46034</v>
      </c>
      <c r="C383" s="7" t="n">
        <v>46034</v>
      </c>
      <c r="D383" s="1" t="n">
        <v>0</v>
      </c>
    </row>
    <row r="384" customFormat="false" ht="15" hidden="false" customHeight="false" outlineLevel="0" collapsed="false">
      <c r="A384" s="1" t="n">
        <v>383</v>
      </c>
      <c r="B384" s="7" t="n">
        <v>46035</v>
      </c>
      <c r="C384" s="7" t="n">
        <v>46035</v>
      </c>
      <c r="D384" s="1" t="n">
        <v>0</v>
      </c>
    </row>
    <row r="385" customFormat="false" ht="15" hidden="false" customHeight="false" outlineLevel="0" collapsed="false">
      <c r="A385" s="1" t="n">
        <v>384</v>
      </c>
      <c r="B385" s="7" t="n">
        <v>46035</v>
      </c>
      <c r="C385" s="7" t="n">
        <v>46035</v>
      </c>
      <c r="D385" s="1" t="n">
        <v>0</v>
      </c>
    </row>
    <row r="386" customFormat="false" ht="15" hidden="false" customHeight="false" outlineLevel="0" collapsed="false">
      <c r="A386" s="1" t="n">
        <v>385</v>
      </c>
      <c r="B386" s="7" t="n">
        <v>46035</v>
      </c>
      <c r="C386" s="7" t="n">
        <v>46035</v>
      </c>
      <c r="D386" s="1" t="n">
        <v>0</v>
      </c>
    </row>
    <row r="387" customFormat="false" ht="15" hidden="false" customHeight="false" outlineLevel="0" collapsed="false">
      <c r="A387" s="1" t="n">
        <v>386</v>
      </c>
      <c r="B387" s="7" t="n">
        <v>46036</v>
      </c>
      <c r="C387" s="7" t="n">
        <v>46036</v>
      </c>
      <c r="D387" s="1" t="n">
        <v>0</v>
      </c>
    </row>
    <row r="388" customFormat="false" ht="15" hidden="false" customHeight="false" outlineLevel="0" collapsed="false">
      <c r="A388" s="1" t="n">
        <v>387</v>
      </c>
      <c r="B388" s="7" t="n">
        <v>46036</v>
      </c>
      <c r="C388" s="7" t="n">
        <v>46036</v>
      </c>
      <c r="D388" s="1" t="n">
        <v>0</v>
      </c>
    </row>
    <row r="389" customFormat="false" ht="15" hidden="false" customHeight="false" outlineLevel="0" collapsed="false">
      <c r="A389" s="1" t="n">
        <v>388</v>
      </c>
      <c r="B389" s="7" t="n">
        <v>46036</v>
      </c>
      <c r="C389" s="7" t="n">
        <v>46036</v>
      </c>
      <c r="D389" s="1" t="n">
        <v>0</v>
      </c>
    </row>
    <row r="390" customFormat="false" ht="15" hidden="false" customHeight="false" outlineLevel="0" collapsed="false">
      <c r="A390" s="1" t="n">
        <v>389</v>
      </c>
      <c r="B390" s="7" t="n">
        <v>46037</v>
      </c>
      <c r="C390" s="7" t="n">
        <v>46037</v>
      </c>
      <c r="D390" s="1" t="n">
        <v>0</v>
      </c>
    </row>
    <row r="391" customFormat="false" ht="15" hidden="false" customHeight="false" outlineLevel="0" collapsed="false">
      <c r="A391" s="1" t="n">
        <v>390</v>
      </c>
      <c r="B391" s="7" t="n">
        <v>46037</v>
      </c>
      <c r="C391" s="7" t="n">
        <v>46037</v>
      </c>
      <c r="D391" s="1" t="n">
        <v>0</v>
      </c>
    </row>
    <row r="392" customFormat="false" ht="15" hidden="false" customHeight="false" outlineLevel="0" collapsed="false">
      <c r="A392" s="1" t="n">
        <v>391</v>
      </c>
      <c r="B392" s="7" t="n">
        <v>46037</v>
      </c>
      <c r="C392" s="7" t="n">
        <v>46037</v>
      </c>
      <c r="D392" s="1" t="n">
        <v>0</v>
      </c>
    </row>
    <row r="393" customFormat="false" ht="15" hidden="false" customHeight="false" outlineLevel="0" collapsed="false">
      <c r="A393" s="1" t="n">
        <v>392</v>
      </c>
      <c r="B393" s="7" t="n">
        <v>46038</v>
      </c>
      <c r="C393" s="7" t="n">
        <v>46038</v>
      </c>
      <c r="D393" s="1" t="n">
        <v>0</v>
      </c>
    </row>
    <row r="394" customFormat="false" ht="15" hidden="false" customHeight="false" outlineLevel="0" collapsed="false">
      <c r="A394" s="1" t="n">
        <v>393</v>
      </c>
      <c r="B394" s="7" t="n">
        <v>46038</v>
      </c>
      <c r="C394" s="7" t="n">
        <v>46038</v>
      </c>
      <c r="D394" s="1" t="n">
        <v>0</v>
      </c>
    </row>
    <row r="395" customFormat="false" ht="15" hidden="false" customHeight="false" outlineLevel="0" collapsed="false">
      <c r="A395" s="1" t="n">
        <v>394</v>
      </c>
      <c r="B395" s="7" t="n">
        <v>46038</v>
      </c>
      <c r="C395" s="7" t="n">
        <v>46038</v>
      </c>
      <c r="D395" s="1" t="n">
        <v>0</v>
      </c>
    </row>
    <row r="396" customFormat="false" ht="15" hidden="false" customHeight="false" outlineLevel="0" collapsed="false">
      <c r="A396" s="1" t="n">
        <v>395</v>
      </c>
      <c r="B396" s="7" t="n">
        <v>46038</v>
      </c>
      <c r="C396" s="7" t="n">
        <v>46038</v>
      </c>
      <c r="D396" s="1" t="n">
        <v>0</v>
      </c>
    </row>
    <row r="397" customFormat="false" ht="15" hidden="false" customHeight="false" outlineLevel="0" collapsed="false">
      <c r="A397" s="1" t="n">
        <v>396</v>
      </c>
      <c r="B397" s="7" t="n">
        <v>46039</v>
      </c>
      <c r="C397" s="7" t="n">
        <v>46039</v>
      </c>
      <c r="D397" s="1" t="n">
        <v>0</v>
      </c>
    </row>
    <row r="398" customFormat="false" ht="15" hidden="false" customHeight="false" outlineLevel="0" collapsed="false">
      <c r="A398" s="1" t="n">
        <v>397</v>
      </c>
      <c r="B398" s="7" t="n">
        <v>46039</v>
      </c>
      <c r="C398" s="7" t="n">
        <v>46039</v>
      </c>
      <c r="D398" s="1" t="n">
        <v>0</v>
      </c>
    </row>
    <row r="399" customFormat="false" ht="15" hidden="false" customHeight="false" outlineLevel="0" collapsed="false">
      <c r="A399" s="1" t="n">
        <v>398</v>
      </c>
      <c r="B399" s="7" t="n">
        <v>46039</v>
      </c>
      <c r="C399" s="7" t="n">
        <v>46039</v>
      </c>
      <c r="D399" s="1" t="n">
        <v>0</v>
      </c>
    </row>
    <row r="400" customFormat="false" ht="15" hidden="false" customHeight="false" outlineLevel="0" collapsed="false">
      <c r="A400" s="1" t="n">
        <v>399</v>
      </c>
      <c r="B400" s="7" t="n">
        <v>46039</v>
      </c>
      <c r="C400" s="7" t="n">
        <v>46039</v>
      </c>
      <c r="D400" s="1" t="n">
        <v>0</v>
      </c>
    </row>
    <row r="401" customFormat="false" ht="15" hidden="false" customHeight="false" outlineLevel="0" collapsed="false">
      <c r="A401" s="1" t="n">
        <v>400</v>
      </c>
      <c r="B401" s="7" t="n">
        <v>46040</v>
      </c>
      <c r="C401" s="7" t="n">
        <v>46040</v>
      </c>
      <c r="D401" s="1" t="n">
        <v>0</v>
      </c>
    </row>
    <row r="402" customFormat="false" ht="15" hidden="false" customHeight="false" outlineLevel="0" collapsed="false">
      <c r="A402" s="1" t="n">
        <v>401</v>
      </c>
      <c r="B402" s="7" t="n">
        <v>46040</v>
      </c>
      <c r="C402" s="7" t="n">
        <v>46040</v>
      </c>
      <c r="D402" s="1" t="n">
        <v>0</v>
      </c>
    </row>
    <row r="403" customFormat="false" ht="15" hidden="false" customHeight="false" outlineLevel="0" collapsed="false">
      <c r="A403" s="1" t="n">
        <v>402</v>
      </c>
      <c r="B403" s="7" t="n">
        <v>46041</v>
      </c>
      <c r="C403" s="7" t="n">
        <v>46041</v>
      </c>
      <c r="D403" s="1" t="n">
        <v>0</v>
      </c>
    </row>
    <row r="404" customFormat="false" ht="15" hidden="false" customHeight="false" outlineLevel="0" collapsed="false">
      <c r="A404" s="1" t="n">
        <v>403</v>
      </c>
      <c r="B404" s="7" t="n">
        <v>46041</v>
      </c>
      <c r="C404" s="7" t="n">
        <v>46041</v>
      </c>
      <c r="D404" s="1" t="n">
        <v>0</v>
      </c>
    </row>
    <row r="405" customFormat="false" ht="15" hidden="false" customHeight="false" outlineLevel="0" collapsed="false">
      <c r="A405" s="1" t="n">
        <v>404</v>
      </c>
      <c r="B405" s="7" t="n">
        <v>46041</v>
      </c>
      <c r="C405" s="7" t="n">
        <v>46041</v>
      </c>
      <c r="D405" s="1" t="n">
        <v>0</v>
      </c>
    </row>
    <row r="406" customFormat="false" ht="15" hidden="false" customHeight="false" outlineLevel="0" collapsed="false">
      <c r="A406" s="1" t="n">
        <v>405</v>
      </c>
      <c r="B406" s="7" t="n">
        <v>46042</v>
      </c>
      <c r="C406" s="7" t="n">
        <v>46042</v>
      </c>
      <c r="D406" s="1" t="n">
        <v>0</v>
      </c>
    </row>
    <row r="407" customFormat="false" ht="15" hidden="false" customHeight="false" outlineLevel="0" collapsed="false">
      <c r="A407" s="1" t="n">
        <v>406</v>
      </c>
      <c r="B407" s="7" t="n">
        <v>46042</v>
      </c>
      <c r="C407" s="7" t="n">
        <v>46042</v>
      </c>
      <c r="D407" s="1" t="n">
        <v>0</v>
      </c>
    </row>
    <row r="408" customFormat="false" ht="15" hidden="false" customHeight="false" outlineLevel="0" collapsed="false">
      <c r="A408" s="1" t="n">
        <v>407</v>
      </c>
      <c r="B408" s="7" t="n">
        <v>46043</v>
      </c>
      <c r="C408" s="7" t="n">
        <v>46043</v>
      </c>
      <c r="D408" s="1" t="n">
        <v>0</v>
      </c>
    </row>
    <row r="409" customFormat="false" ht="15" hidden="false" customHeight="false" outlineLevel="0" collapsed="false">
      <c r="A409" s="1" t="n">
        <v>408</v>
      </c>
      <c r="B409" s="7" t="n">
        <v>46043</v>
      </c>
      <c r="C409" s="7" t="n">
        <v>46043</v>
      </c>
      <c r="D409" s="1" t="n">
        <v>0</v>
      </c>
    </row>
    <row r="410" customFormat="false" ht="15" hidden="false" customHeight="false" outlineLevel="0" collapsed="false">
      <c r="A410" s="1" t="n">
        <v>409</v>
      </c>
      <c r="B410" s="7" t="n">
        <v>46043</v>
      </c>
      <c r="C410" s="7" t="n">
        <v>46043</v>
      </c>
      <c r="D410" s="1" t="n">
        <v>0</v>
      </c>
    </row>
    <row r="411" customFormat="false" ht="15" hidden="false" customHeight="false" outlineLevel="0" collapsed="false">
      <c r="A411" s="1" t="n">
        <v>410</v>
      </c>
      <c r="B411" s="7" t="n">
        <v>46044</v>
      </c>
      <c r="C411" s="7" t="n">
        <v>46044</v>
      </c>
      <c r="D411" s="1" t="n">
        <v>0</v>
      </c>
    </row>
    <row r="412" customFormat="false" ht="15" hidden="false" customHeight="false" outlineLevel="0" collapsed="false">
      <c r="A412" s="1" t="n">
        <v>411</v>
      </c>
      <c r="B412" s="7" t="n">
        <v>46044</v>
      </c>
      <c r="C412" s="7" t="n">
        <v>46044</v>
      </c>
      <c r="D412" s="1" t="n">
        <v>0</v>
      </c>
    </row>
    <row r="413" customFormat="false" ht="15" hidden="false" customHeight="false" outlineLevel="0" collapsed="false">
      <c r="A413" s="1" t="n">
        <v>412</v>
      </c>
      <c r="B413" s="7" t="n">
        <v>46044</v>
      </c>
      <c r="C413" s="7" t="n">
        <v>46044</v>
      </c>
      <c r="D413" s="1" t="n">
        <v>0</v>
      </c>
    </row>
    <row r="414" customFormat="false" ht="15" hidden="false" customHeight="false" outlineLevel="0" collapsed="false">
      <c r="A414" s="1" t="n">
        <v>413</v>
      </c>
      <c r="B414" s="7" t="n">
        <v>46045</v>
      </c>
      <c r="C414" s="7" t="n">
        <v>46045</v>
      </c>
      <c r="D414" s="1" t="n">
        <v>0</v>
      </c>
    </row>
    <row r="415" customFormat="false" ht="15" hidden="false" customHeight="false" outlineLevel="0" collapsed="false">
      <c r="A415" s="1" t="n">
        <v>414</v>
      </c>
      <c r="B415" s="7" t="n">
        <v>46045</v>
      </c>
      <c r="C415" s="7" t="n">
        <v>46045</v>
      </c>
      <c r="D415" s="1" t="n">
        <v>0</v>
      </c>
    </row>
    <row r="416" customFormat="false" ht="15" hidden="false" customHeight="false" outlineLevel="0" collapsed="false">
      <c r="A416" s="1" t="n">
        <v>415</v>
      </c>
      <c r="B416" s="7" t="n">
        <v>46045</v>
      </c>
      <c r="C416" s="7" t="n">
        <v>46045</v>
      </c>
      <c r="D416" s="1" t="n">
        <v>0</v>
      </c>
    </row>
    <row r="417" customFormat="false" ht="15" hidden="false" customHeight="false" outlineLevel="0" collapsed="false">
      <c r="A417" s="1" t="n">
        <v>416</v>
      </c>
      <c r="B417" s="7" t="n">
        <v>46046</v>
      </c>
      <c r="C417" s="7" t="n">
        <v>46046</v>
      </c>
      <c r="D417" s="1" t="n">
        <v>0</v>
      </c>
    </row>
    <row r="418" customFormat="false" ht="15" hidden="false" customHeight="false" outlineLevel="0" collapsed="false">
      <c r="A418" s="1" t="n">
        <v>417</v>
      </c>
      <c r="B418" s="7" t="n">
        <v>46046</v>
      </c>
      <c r="C418" s="7" t="n">
        <v>46046</v>
      </c>
      <c r="D418" s="1" t="n">
        <v>0</v>
      </c>
    </row>
    <row r="419" customFormat="false" ht="15" hidden="false" customHeight="false" outlineLevel="0" collapsed="false">
      <c r="A419" s="1" t="n">
        <v>418</v>
      </c>
      <c r="B419" s="7" t="n">
        <v>46046</v>
      </c>
      <c r="C419" s="7" t="n">
        <v>46046</v>
      </c>
      <c r="D419" s="1" t="n">
        <v>0</v>
      </c>
    </row>
    <row r="420" customFormat="false" ht="15" hidden="false" customHeight="false" outlineLevel="0" collapsed="false">
      <c r="A420" s="1" t="n">
        <v>419</v>
      </c>
      <c r="B420" s="7" t="n">
        <v>46047</v>
      </c>
      <c r="C420" s="7" t="n">
        <v>46047</v>
      </c>
      <c r="D420" s="1" t="n">
        <v>0</v>
      </c>
    </row>
    <row r="421" customFormat="false" ht="15" hidden="false" customHeight="false" outlineLevel="0" collapsed="false">
      <c r="A421" s="1" t="n">
        <v>420</v>
      </c>
      <c r="B421" s="7" t="n">
        <v>46047</v>
      </c>
      <c r="C421" s="7" t="n">
        <v>46047</v>
      </c>
      <c r="D421" s="1" t="n">
        <v>0</v>
      </c>
    </row>
    <row r="422" customFormat="false" ht="15" hidden="false" customHeight="false" outlineLevel="0" collapsed="false">
      <c r="A422" s="1" t="n">
        <v>421</v>
      </c>
      <c r="B422" s="7" t="n">
        <v>46047</v>
      </c>
      <c r="C422" s="7" t="n">
        <v>46047</v>
      </c>
      <c r="D422" s="1" t="n">
        <v>0</v>
      </c>
    </row>
    <row r="423" customFormat="false" ht="15" hidden="false" customHeight="false" outlineLevel="0" collapsed="false">
      <c r="A423" s="1" t="n">
        <v>422</v>
      </c>
      <c r="B423" s="7" t="n">
        <v>46047</v>
      </c>
      <c r="C423" s="7" t="n">
        <v>46047</v>
      </c>
      <c r="D423" s="1" t="n">
        <v>0</v>
      </c>
    </row>
    <row r="424" customFormat="false" ht="15" hidden="false" customHeight="false" outlineLevel="0" collapsed="false">
      <c r="A424" s="1" t="n">
        <v>423</v>
      </c>
      <c r="B424" s="7" t="n">
        <v>46048</v>
      </c>
      <c r="C424" s="7" t="n">
        <v>46048</v>
      </c>
      <c r="D424" s="1" t="n">
        <v>0</v>
      </c>
    </row>
    <row r="425" customFormat="false" ht="15" hidden="false" customHeight="false" outlineLevel="0" collapsed="false">
      <c r="A425" s="1" t="n">
        <v>424</v>
      </c>
      <c r="B425" s="7" t="n">
        <v>46048</v>
      </c>
      <c r="C425" s="7" t="n">
        <v>46048</v>
      </c>
      <c r="D425" s="1" t="n">
        <v>0</v>
      </c>
    </row>
    <row r="426" customFormat="false" ht="15" hidden="false" customHeight="false" outlineLevel="0" collapsed="false">
      <c r="A426" s="1" t="n">
        <v>425</v>
      </c>
      <c r="B426" s="7" t="n">
        <v>46048</v>
      </c>
      <c r="C426" s="7" t="n">
        <v>46048</v>
      </c>
      <c r="D426" s="1" t="n">
        <v>0</v>
      </c>
    </row>
    <row r="427" customFormat="false" ht="15" hidden="false" customHeight="false" outlineLevel="0" collapsed="false">
      <c r="A427" s="1" t="n">
        <v>426</v>
      </c>
      <c r="B427" s="7" t="n">
        <v>46049</v>
      </c>
      <c r="C427" s="7" t="n">
        <v>46049</v>
      </c>
      <c r="D427" s="1" t="n">
        <v>0</v>
      </c>
    </row>
    <row r="428" customFormat="false" ht="15" hidden="false" customHeight="false" outlineLevel="0" collapsed="false">
      <c r="A428" s="1" t="n">
        <v>427</v>
      </c>
      <c r="B428" s="7" t="n">
        <v>46049</v>
      </c>
      <c r="C428" s="7" t="n">
        <v>46049</v>
      </c>
      <c r="D428" s="1" t="n">
        <v>0</v>
      </c>
    </row>
    <row r="429" customFormat="false" ht="15" hidden="false" customHeight="false" outlineLevel="0" collapsed="false">
      <c r="A429" s="1" t="n">
        <v>428</v>
      </c>
      <c r="B429" s="7" t="n">
        <v>46049</v>
      </c>
      <c r="C429" s="7" t="n">
        <v>46049</v>
      </c>
      <c r="D429" s="1" t="n">
        <v>0</v>
      </c>
    </row>
    <row r="430" customFormat="false" ht="15" hidden="false" customHeight="false" outlineLevel="0" collapsed="false">
      <c r="A430" s="1" t="n">
        <v>429</v>
      </c>
      <c r="B430" s="7" t="n">
        <v>46050</v>
      </c>
      <c r="C430" s="7" t="n">
        <v>46050</v>
      </c>
      <c r="D430" s="1" t="n">
        <v>0</v>
      </c>
    </row>
    <row r="431" customFormat="false" ht="15" hidden="false" customHeight="false" outlineLevel="0" collapsed="false">
      <c r="A431" s="1" t="n">
        <v>430</v>
      </c>
      <c r="B431" s="7" t="n">
        <v>46050</v>
      </c>
      <c r="C431" s="7" t="n">
        <v>46050</v>
      </c>
      <c r="D431" s="1" t="n">
        <v>0</v>
      </c>
    </row>
    <row r="432" customFormat="false" ht="15" hidden="false" customHeight="false" outlineLevel="0" collapsed="false">
      <c r="A432" s="1" t="n">
        <v>431</v>
      </c>
      <c r="B432" s="7" t="n">
        <v>46050</v>
      </c>
      <c r="C432" s="7" t="n">
        <v>46050</v>
      </c>
      <c r="D432" s="1" t="n">
        <v>0</v>
      </c>
    </row>
    <row r="433" customFormat="false" ht="15" hidden="false" customHeight="false" outlineLevel="0" collapsed="false">
      <c r="A433" s="1" t="n">
        <v>432</v>
      </c>
      <c r="B433" s="7" t="n">
        <v>46051</v>
      </c>
      <c r="C433" s="7" t="n">
        <v>46051</v>
      </c>
      <c r="D433" s="1" t="n">
        <v>0</v>
      </c>
    </row>
    <row r="434" customFormat="false" ht="15" hidden="false" customHeight="false" outlineLevel="0" collapsed="false">
      <c r="A434" s="1" t="n">
        <v>433</v>
      </c>
      <c r="B434" s="7" t="n">
        <v>46051</v>
      </c>
      <c r="C434" s="7" t="n">
        <v>46051</v>
      </c>
      <c r="D434" s="1" t="n">
        <v>0</v>
      </c>
    </row>
    <row r="435" customFormat="false" ht="15" hidden="false" customHeight="false" outlineLevel="0" collapsed="false">
      <c r="A435" s="1" t="n">
        <v>434</v>
      </c>
      <c r="B435" s="7" t="n">
        <v>46051</v>
      </c>
      <c r="C435" s="7" t="n">
        <v>46051</v>
      </c>
      <c r="D435" s="1" t="n">
        <v>0</v>
      </c>
    </row>
    <row r="436" customFormat="false" ht="15" hidden="false" customHeight="false" outlineLevel="0" collapsed="false">
      <c r="A436" s="1" t="n">
        <v>435</v>
      </c>
      <c r="B436" s="7" t="n">
        <v>46052</v>
      </c>
      <c r="C436" s="7" t="n">
        <v>46052</v>
      </c>
      <c r="D436" s="1" t="n">
        <v>0</v>
      </c>
    </row>
    <row r="437" customFormat="false" ht="15" hidden="false" customHeight="false" outlineLevel="0" collapsed="false">
      <c r="A437" s="1" t="n">
        <v>436</v>
      </c>
      <c r="B437" s="7" t="n">
        <v>46052</v>
      </c>
      <c r="C437" s="7" t="n">
        <v>46052</v>
      </c>
      <c r="D437" s="1" t="n">
        <v>0</v>
      </c>
    </row>
    <row r="438" customFormat="false" ht="15" hidden="false" customHeight="false" outlineLevel="0" collapsed="false">
      <c r="A438" s="1" t="n">
        <v>437</v>
      </c>
      <c r="B438" s="7" t="n">
        <v>46052</v>
      </c>
      <c r="C438" s="7" t="n">
        <v>46052</v>
      </c>
      <c r="D438" s="1" t="n">
        <v>0</v>
      </c>
    </row>
    <row r="439" customFormat="false" ht="15" hidden="false" customHeight="false" outlineLevel="0" collapsed="false">
      <c r="A439" s="1" t="n">
        <v>438</v>
      </c>
      <c r="B439" s="7" t="n">
        <v>46053</v>
      </c>
      <c r="C439" s="7" t="n">
        <v>46053</v>
      </c>
      <c r="D439" s="1" t="n">
        <v>0</v>
      </c>
    </row>
    <row r="440" customFormat="false" ht="15" hidden="false" customHeight="false" outlineLevel="0" collapsed="false">
      <c r="A440" s="1" t="n">
        <v>439</v>
      </c>
      <c r="B440" s="7" t="n">
        <v>46053</v>
      </c>
      <c r="C440" s="7" t="n">
        <v>46053</v>
      </c>
      <c r="D440" s="1" t="n">
        <v>1</v>
      </c>
    </row>
    <row r="441" customFormat="false" ht="15" hidden="false" customHeight="false" outlineLevel="0" collapsed="false">
      <c r="A441" s="1" t="n">
        <v>440</v>
      </c>
      <c r="B441" s="7" t="n">
        <v>46053</v>
      </c>
      <c r="C441" s="7" t="n">
        <v>46053</v>
      </c>
      <c r="D441" s="1" t="n">
        <v>0</v>
      </c>
    </row>
    <row r="442" customFormat="false" ht="15" hidden="false" customHeight="false" outlineLevel="0" collapsed="false">
      <c r="A442" s="1" t="n">
        <v>441</v>
      </c>
      <c r="B442" s="7" t="n">
        <v>46054</v>
      </c>
      <c r="C442" s="7" t="n">
        <v>46054</v>
      </c>
      <c r="D442" s="1" t="n">
        <v>0</v>
      </c>
    </row>
    <row r="443" customFormat="false" ht="15" hidden="false" customHeight="false" outlineLevel="0" collapsed="false">
      <c r="A443" s="1" t="n">
        <v>442</v>
      </c>
      <c r="B443" s="7" t="n">
        <v>46054</v>
      </c>
      <c r="C443" s="7" t="n">
        <v>46054</v>
      </c>
      <c r="D443" s="1" t="n">
        <v>0</v>
      </c>
    </row>
    <row r="444" customFormat="false" ht="15" hidden="false" customHeight="false" outlineLevel="0" collapsed="false">
      <c r="A444" s="1" t="n">
        <v>443</v>
      </c>
      <c r="B444" s="7" t="n">
        <v>46054</v>
      </c>
      <c r="C444" s="7" t="n">
        <v>46054</v>
      </c>
      <c r="D444" s="1" t="n">
        <v>0</v>
      </c>
    </row>
    <row r="445" customFormat="false" ht="15" hidden="false" customHeight="false" outlineLevel="0" collapsed="false">
      <c r="A445" s="1" t="n">
        <v>444</v>
      </c>
      <c r="B445" s="7" t="n">
        <v>46055</v>
      </c>
      <c r="C445" s="7" t="n">
        <v>46055</v>
      </c>
      <c r="D445" s="1" t="n">
        <v>1</v>
      </c>
    </row>
    <row r="446" customFormat="false" ht="15" hidden="false" customHeight="false" outlineLevel="0" collapsed="false">
      <c r="A446" s="1" t="n">
        <v>445</v>
      </c>
      <c r="B446" s="7" t="n">
        <v>46055</v>
      </c>
      <c r="C446" s="7" t="n">
        <v>46055</v>
      </c>
      <c r="D446" s="1" t="n">
        <v>0</v>
      </c>
    </row>
    <row r="447" customFormat="false" ht="15" hidden="false" customHeight="false" outlineLevel="0" collapsed="false">
      <c r="A447" s="1" t="n">
        <v>446</v>
      </c>
      <c r="B447" s="7" t="n">
        <v>46056</v>
      </c>
      <c r="C447" s="7" t="n">
        <v>46056</v>
      </c>
      <c r="D447" s="1" t="n">
        <v>0</v>
      </c>
    </row>
    <row r="448" customFormat="false" ht="15" hidden="false" customHeight="false" outlineLevel="0" collapsed="false">
      <c r="A448" s="1" t="n">
        <v>447</v>
      </c>
      <c r="B448" s="7" t="n">
        <v>46056</v>
      </c>
      <c r="C448" s="7" t="n">
        <v>46056</v>
      </c>
      <c r="D448" s="1" t="n">
        <v>0</v>
      </c>
    </row>
    <row r="449" customFormat="false" ht="15" hidden="false" customHeight="false" outlineLevel="0" collapsed="false">
      <c r="A449" s="1" t="n">
        <v>448</v>
      </c>
      <c r="B449" s="7" t="n">
        <v>46057</v>
      </c>
      <c r="C449" s="7" t="n">
        <v>46057</v>
      </c>
      <c r="D449" s="1" t="n">
        <v>0</v>
      </c>
    </row>
    <row r="450" customFormat="false" ht="15" hidden="false" customHeight="false" outlineLevel="0" collapsed="false">
      <c r="A450" s="1" t="n">
        <v>449</v>
      </c>
      <c r="B450" s="7" t="n">
        <v>46057</v>
      </c>
      <c r="C450" s="7" t="n">
        <v>46057</v>
      </c>
      <c r="D450" s="1" t="n">
        <v>1</v>
      </c>
    </row>
    <row r="451" customFormat="false" ht="15" hidden="false" customHeight="false" outlineLevel="0" collapsed="false">
      <c r="A451" s="1" t="n">
        <v>450</v>
      </c>
      <c r="B451" s="7" t="n">
        <v>46057</v>
      </c>
      <c r="C451" s="7" t="n">
        <v>46057</v>
      </c>
      <c r="D451" s="1" t="n">
        <v>0</v>
      </c>
    </row>
    <row r="452" customFormat="false" ht="15" hidden="false" customHeight="false" outlineLevel="0" collapsed="false">
      <c r="A452" s="1" t="n">
        <v>451</v>
      </c>
      <c r="B452" s="7" t="n">
        <v>46058</v>
      </c>
      <c r="C452" s="7" t="n">
        <v>46058</v>
      </c>
      <c r="D452" s="1" t="n">
        <v>0</v>
      </c>
    </row>
    <row r="453" customFormat="false" ht="15" hidden="false" customHeight="false" outlineLevel="0" collapsed="false">
      <c r="A453" s="1" t="n">
        <v>452</v>
      </c>
      <c r="B453" s="7" t="n">
        <v>46058</v>
      </c>
      <c r="C453" s="7" t="n">
        <v>46058</v>
      </c>
      <c r="D453" s="1" t="n">
        <v>0</v>
      </c>
    </row>
    <row r="454" customFormat="false" ht="15" hidden="false" customHeight="false" outlineLevel="0" collapsed="false">
      <c r="A454" s="1" t="n">
        <v>453</v>
      </c>
      <c r="B454" s="7" t="n">
        <v>46058</v>
      </c>
      <c r="C454" s="7" t="n">
        <v>46058</v>
      </c>
      <c r="D454" s="1" t="n">
        <v>0</v>
      </c>
    </row>
    <row r="455" customFormat="false" ht="15" hidden="false" customHeight="false" outlineLevel="0" collapsed="false">
      <c r="A455" s="1" t="n">
        <v>454</v>
      </c>
      <c r="B455" s="7" t="n">
        <v>46059</v>
      </c>
      <c r="C455" s="7" t="n">
        <v>46059</v>
      </c>
      <c r="D455" s="1" t="n">
        <v>0</v>
      </c>
    </row>
    <row r="456" customFormat="false" ht="15" hidden="false" customHeight="false" outlineLevel="0" collapsed="false">
      <c r="A456" s="1" t="n">
        <v>455</v>
      </c>
      <c r="B456" s="7" t="n">
        <v>46059</v>
      </c>
      <c r="C456" s="7" t="n">
        <v>46059</v>
      </c>
      <c r="D456" s="1" t="n">
        <v>0</v>
      </c>
    </row>
    <row r="457" customFormat="false" ht="15" hidden="false" customHeight="false" outlineLevel="0" collapsed="false">
      <c r="A457" s="1" t="n">
        <v>456</v>
      </c>
      <c r="B457" s="7" t="n">
        <v>46060</v>
      </c>
      <c r="C457" s="7" t="n">
        <v>46060</v>
      </c>
      <c r="D457" s="1" t="n">
        <v>0</v>
      </c>
    </row>
    <row r="458" customFormat="false" ht="15" hidden="false" customHeight="false" outlineLevel="0" collapsed="false">
      <c r="A458" s="1" t="n">
        <v>457</v>
      </c>
      <c r="B458" s="7" t="n">
        <v>46060</v>
      </c>
      <c r="C458" s="7" t="n">
        <v>46060</v>
      </c>
      <c r="D458" s="1" t="n">
        <v>0</v>
      </c>
    </row>
    <row r="459" customFormat="false" ht="15" hidden="false" customHeight="false" outlineLevel="0" collapsed="false">
      <c r="A459" s="1" t="n">
        <v>458</v>
      </c>
      <c r="B459" s="7" t="n">
        <v>46060</v>
      </c>
      <c r="C459" s="7" t="n">
        <v>46060</v>
      </c>
      <c r="D459" s="1" t="n">
        <v>0</v>
      </c>
    </row>
    <row r="460" customFormat="false" ht="15" hidden="false" customHeight="false" outlineLevel="0" collapsed="false">
      <c r="A460" s="1" t="n">
        <v>459</v>
      </c>
      <c r="B460" s="7" t="n">
        <v>46061</v>
      </c>
      <c r="C460" s="7" t="n">
        <v>46061</v>
      </c>
      <c r="D460" s="1" t="n">
        <v>0</v>
      </c>
    </row>
    <row r="461" customFormat="false" ht="15" hidden="false" customHeight="false" outlineLevel="0" collapsed="false">
      <c r="A461" s="1" t="n">
        <v>460</v>
      </c>
      <c r="B461" s="7" t="n">
        <v>46061</v>
      </c>
      <c r="C461" s="7" t="n">
        <v>46061</v>
      </c>
      <c r="D461" s="1" t="n">
        <v>1</v>
      </c>
    </row>
    <row r="462" customFormat="false" ht="15" hidden="false" customHeight="false" outlineLevel="0" collapsed="false">
      <c r="A462" s="1" t="n">
        <v>461</v>
      </c>
      <c r="B462" s="7" t="n">
        <v>46061</v>
      </c>
      <c r="C462" s="7" t="n">
        <v>46061</v>
      </c>
      <c r="D462" s="1" t="n">
        <v>0</v>
      </c>
    </row>
    <row r="463" customFormat="false" ht="15" hidden="false" customHeight="false" outlineLevel="0" collapsed="false">
      <c r="A463" s="1" t="n">
        <v>462</v>
      </c>
      <c r="B463" s="7" t="n">
        <v>46062</v>
      </c>
      <c r="C463" s="7" t="n">
        <v>46062</v>
      </c>
      <c r="D463" s="1" t="n">
        <v>0</v>
      </c>
    </row>
    <row r="464" customFormat="false" ht="15" hidden="false" customHeight="false" outlineLevel="0" collapsed="false">
      <c r="A464" s="1" t="n">
        <v>463</v>
      </c>
      <c r="B464" s="7" t="n">
        <v>46062</v>
      </c>
      <c r="C464" s="7" t="n">
        <v>46062</v>
      </c>
      <c r="D464" s="1" t="n">
        <v>0</v>
      </c>
    </row>
    <row r="465" customFormat="false" ht="15" hidden="false" customHeight="false" outlineLevel="0" collapsed="false">
      <c r="A465" s="1" t="n">
        <v>464</v>
      </c>
      <c r="B465" s="7" t="n">
        <v>46062</v>
      </c>
      <c r="C465" s="7" t="n">
        <v>46062</v>
      </c>
      <c r="D465" s="1" t="n">
        <v>0</v>
      </c>
    </row>
    <row r="466" customFormat="false" ht="15" hidden="false" customHeight="false" outlineLevel="0" collapsed="false">
      <c r="A466" s="1" t="n">
        <v>465</v>
      </c>
      <c r="B466" s="7" t="n">
        <v>46063</v>
      </c>
      <c r="C466" s="7" t="n">
        <v>46063</v>
      </c>
      <c r="D466" s="1" t="n">
        <v>1</v>
      </c>
    </row>
    <row r="467" customFormat="false" ht="15" hidden="false" customHeight="false" outlineLevel="0" collapsed="false">
      <c r="A467" s="1" t="n">
        <v>466</v>
      </c>
      <c r="B467" s="7" t="n">
        <v>46063</v>
      </c>
      <c r="C467" s="7" t="n">
        <v>46063</v>
      </c>
      <c r="D467" s="1" t="n">
        <v>0</v>
      </c>
    </row>
    <row r="468" customFormat="false" ht="15" hidden="false" customHeight="false" outlineLevel="0" collapsed="false">
      <c r="A468" s="1" t="n">
        <v>467</v>
      </c>
      <c r="B468" s="7" t="n">
        <v>46063</v>
      </c>
      <c r="C468" s="7" t="n">
        <v>46063</v>
      </c>
      <c r="D468" s="1" t="n">
        <v>0</v>
      </c>
    </row>
    <row r="469" customFormat="false" ht="15" hidden="false" customHeight="false" outlineLevel="0" collapsed="false">
      <c r="A469" s="1" t="n">
        <v>468</v>
      </c>
      <c r="B469" s="7" t="n">
        <v>46064</v>
      </c>
      <c r="C469" s="7" t="n">
        <v>46064</v>
      </c>
      <c r="D469" s="1" t="n">
        <v>0</v>
      </c>
    </row>
    <row r="470" customFormat="false" ht="15" hidden="false" customHeight="false" outlineLevel="0" collapsed="false">
      <c r="A470" s="1" t="n">
        <v>469</v>
      </c>
      <c r="B470" s="7" t="n">
        <v>46064</v>
      </c>
      <c r="C470" s="7" t="n">
        <v>46064</v>
      </c>
      <c r="D470" s="1" t="n">
        <v>0</v>
      </c>
    </row>
    <row r="471" customFormat="false" ht="15" hidden="false" customHeight="false" outlineLevel="0" collapsed="false">
      <c r="A471" s="1" t="n">
        <v>470</v>
      </c>
      <c r="B471" s="7" t="n">
        <v>46064</v>
      </c>
      <c r="C471" s="7" t="n">
        <v>46064</v>
      </c>
      <c r="D471" s="1" t="n">
        <v>0</v>
      </c>
    </row>
    <row r="472" customFormat="false" ht="15" hidden="false" customHeight="false" outlineLevel="0" collapsed="false">
      <c r="A472" s="1" t="n">
        <v>471</v>
      </c>
      <c r="B472" s="7" t="n">
        <v>46064</v>
      </c>
      <c r="C472" s="7" t="n">
        <v>46064</v>
      </c>
      <c r="D472" s="1" t="n">
        <v>0</v>
      </c>
    </row>
    <row r="473" customFormat="false" ht="15" hidden="false" customHeight="false" outlineLevel="0" collapsed="false">
      <c r="A473" s="1" t="n">
        <v>472</v>
      </c>
      <c r="B473" s="7" t="n">
        <v>46065</v>
      </c>
      <c r="C473" s="7" t="n">
        <v>46065</v>
      </c>
      <c r="D473" s="1" t="n">
        <v>0</v>
      </c>
    </row>
    <row r="474" customFormat="false" ht="15" hidden="false" customHeight="false" outlineLevel="0" collapsed="false">
      <c r="A474" s="1" t="n">
        <v>473</v>
      </c>
      <c r="B474" s="7" t="n">
        <v>46065</v>
      </c>
      <c r="C474" s="7" t="n">
        <v>46065</v>
      </c>
      <c r="D474" s="1" t="n">
        <v>0</v>
      </c>
    </row>
    <row r="475" customFormat="false" ht="15" hidden="false" customHeight="false" outlineLevel="0" collapsed="false">
      <c r="A475" s="1" t="n">
        <v>474</v>
      </c>
      <c r="B475" s="7" t="n">
        <v>46065</v>
      </c>
      <c r="C475" s="7" t="n">
        <v>46065</v>
      </c>
      <c r="D475" s="1" t="n">
        <v>0</v>
      </c>
    </row>
    <row r="476" customFormat="false" ht="15" hidden="false" customHeight="false" outlineLevel="0" collapsed="false">
      <c r="A476" s="1" t="n">
        <v>475</v>
      </c>
      <c r="B476" s="7" t="n">
        <v>46066</v>
      </c>
      <c r="C476" s="7" t="n">
        <v>46066</v>
      </c>
      <c r="D476" s="1" t="n">
        <v>0</v>
      </c>
    </row>
    <row r="477" customFormat="false" ht="15" hidden="false" customHeight="false" outlineLevel="0" collapsed="false">
      <c r="A477" s="1" t="n">
        <v>476</v>
      </c>
      <c r="B477" s="7" t="n">
        <v>46066</v>
      </c>
      <c r="C477" s="7" t="n">
        <v>46066</v>
      </c>
      <c r="D477" s="1" t="n">
        <v>0</v>
      </c>
    </row>
    <row r="478" customFormat="false" ht="15" hidden="false" customHeight="false" outlineLevel="0" collapsed="false">
      <c r="A478" s="1" t="n">
        <v>477</v>
      </c>
      <c r="B478" s="7" t="n">
        <v>46067</v>
      </c>
      <c r="C478" s="7" t="n">
        <v>46067</v>
      </c>
      <c r="D478" s="1" t="n">
        <v>0</v>
      </c>
    </row>
    <row r="479" customFormat="false" ht="15" hidden="false" customHeight="false" outlineLevel="0" collapsed="false">
      <c r="A479" s="1" t="n">
        <v>478</v>
      </c>
      <c r="B479" s="7" t="n">
        <v>46067</v>
      </c>
      <c r="C479" s="7" t="n">
        <v>46067</v>
      </c>
      <c r="D479" s="1" t="n">
        <v>0</v>
      </c>
    </row>
    <row r="480" customFormat="false" ht="15" hidden="false" customHeight="false" outlineLevel="0" collapsed="false">
      <c r="A480" s="1" t="n">
        <v>479</v>
      </c>
      <c r="B480" s="7" t="n">
        <v>46067</v>
      </c>
      <c r="C480" s="7" t="n">
        <v>46067</v>
      </c>
      <c r="D480" s="1" t="n">
        <v>0</v>
      </c>
    </row>
    <row r="481" customFormat="false" ht="15" hidden="false" customHeight="false" outlineLevel="0" collapsed="false">
      <c r="A481" s="1" t="n">
        <v>480</v>
      </c>
      <c r="B481" s="7" t="n">
        <v>46068</v>
      </c>
      <c r="C481" s="7" t="n">
        <v>46068</v>
      </c>
      <c r="D481" s="1" t="n">
        <v>0</v>
      </c>
    </row>
    <row r="482" customFormat="false" ht="15" hidden="false" customHeight="false" outlineLevel="0" collapsed="false">
      <c r="A482" s="1" t="n">
        <v>481</v>
      </c>
      <c r="B482" s="7" t="n">
        <v>46068</v>
      </c>
      <c r="C482" s="7" t="n">
        <v>46068</v>
      </c>
      <c r="D482" s="1" t="n">
        <v>0</v>
      </c>
    </row>
    <row r="483" customFormat="false" ht="15" hidden="false" customHeight="false" outlineLevel="0" collapsed="false">
      <c r="A483" s="1" t="n">
        <v>482</v>
      </c>
      <c r="B483" s="7" t="n">
        <v>46068</v>
      </c>
      <c r="C483" s="7" t="n">
        <v>46068</v>
      </c>
      <c r="D483" s="1" t="n">
        <v>0</v>
      </c>
    </row>
    <row r="484" customFormat="false" ht="15" hidden="false" customHeight="false" outlineLevel="0" collapsed="false">
      <c r="A484" s="1" t="n">
        <v>483</v>
      </c>
      <c r="B484" s="7" t="n">
        <v>46069</v>
      </c>
      <c r="C484" s="7" t="n">
        <v>46069</v>
      </c>
      <c r="D484" s="1" t="n">
        <v>0</v>
      </c>
    </row>
    <row r="485" customFormat="false" ht="15" hidden="false" customHeight="false" outlineLevel="0" collapsed="false">
      <c r="A485" s="1" t="n">
        <v>484</v>
      </c>
      <c r="B485" s="7" t="n">
        <v>46069</v>
      </c>
      <c r="C485" s="7" t="n">
        <v>46069</v>
      </c>
      <c r="D485" s="1" t="n">
        <v>0</v>
      </c>
    </row>
    <row r="486" customFormat="false" ht="15" hidden="false" customHeight="false" outlineLevel="0" collapsed="false">
      <c r="A486" s="1" t="n">
        <v>485</v>
      </c>
      <c r="B486" s="7" t="n">
        <v>46069</v>
      </c>
      <c r="C486" s="7" t="n">
        <v>46069</v>
      </c>
      <c r="D486" s="1" t="n">
        <v>0</v>
      </c>
    </row>
    <row r="487" customFormat="false" ht="15" hidden="false" customHeight="false" outlineLevel="0" collapsed="false">
      <c r="A487" s="1" t="n">
        <v>486</v>
      </c>
      <c r="B487" s="7" t="n">
        <v>46070</v>
      </c>
      <c r="C487" s="7" t="n">
        <v>46070</v>
      </c>
      <c r="D487" s="1" t="n">
        <v>0</v>
      </c>
    </row>
    <row r="488" customFormat="false" ht="15" hidden="false" customHeight="false" outlineLevel="0" collapsed="false">
      <c r="A488" s="1" t="n">
        <v>487</v>
      </c>
      <c r="B488" s="7" t="n">
        <v>46070</v>
      </c>
      <c r="C488" s="7" t="n">
        <v>46070</v>
      </c>
      <c r="D488" s="1" t="n">
        <v>0</v>
      </c>
    </row>
    <row r="489" customFormat="false" ht="15" hidden="false" customHeight="false" outlineLevel="0" collapsed="false">
      <c r="A489" s="1" t="n">
        <v>488</v>
      </c>
      <c r="B489" s="7" t="n">
        <v>46070</v>
      </c>
      <c r="C489" s="7" t="n">
        <v>46070</v>
      </c>
      <c r="D489" s="1" t="n">
        <v>0</v>
      </c>
    </row>
    <row r="490" customFormat="false" ht="15" hidden="false" customHeight="false" outlineLevel="0" collapsed="false">
      <c r="A490" s="1" t="n">
        <v>489</v>
      </c>
      <c r="B490" s="7" t="n">
        <v>46071</v>
      </c>
      <c r="C490" s="7" t="n">
        <v>46071</v>
      </c>
      <c r="D490" s="1" t="n">
        <v>0</v>
      </c>
    </row>
    <row r="491" customFormat="false" ht="15" hidden="false" customHeight="false" outlineLevel="0" collapsed="false">
      <c r="A491" s="1" t="n">
        <v>490</v>
      </c>
      <c r="B491" s="7" t="n">
        <v>46071</v>
      </c>
      <c r="C491" s="7" t="n">
        <v>46071</v>
      </c>
      <c r="D491" s="1" t="n">
        <v>0</v>
      </c>
    </row>
    <row r="492" customFormat="false" ht="15" hidden="false" customHeight="false" outlineLevel="0" collapsed="false">
      <c r="A492" s="1" t="n">
        <v>491</v>
      </c>
      <c r="B492" s="7" t="n">
        <v>46072</v>
      </c>
      <c r="C492" s="7" t="n">
        <v>46072</v>
      </c>
      <c r="D492" s="1" t="n">
        <v>0</v>
      </c>
    </row>
    <row r="493" customFormat="false" ht="15" hidden="false" customHeight="false" outlineLevel="0" collapsed="false">
      <c r="A493" s="1" t="n">
        <v>492</v>
      </c>
      <c r="B493" s="7" t="n">
        <v>46072</v>
      </c>
      <c r="C493" s="7" t="n">
        <v>46072</v>
      </c>
      <c r="D493" s="1" t="n">
        <v>0</v>
      </c>
    </row>
    <row r="494" customFormat="false" ht="15" hidden="false" customHeight="false" outlineLevel="0" collapsed="false">
      <c r="A494" s="1" t="n">
        <v>493</v>
      </c>
      <c r="B494" s="7" t="n">
        <v>46072</v>
      </c>
      <c r="C494" s="7" t="n">
        <v>46072</v>
      </c>
      <c r="D494" s="1" t="n">
        <v>0</v>
      </c>
    </row>
    <row r="495" customFormat="false" ht="15" hidden="false" customHeight="false" outlineLevel="0" collapsed="false">
      <c r="A495" s="1" t="n">
        <v>494</v>
      </c>
      <c r="B495" s="7" t="n">
        <v>46072</v>
      </c>
      <c r="C495" s="7" t="n">
        <v>46072</v>
      </c>
      <c r="D495" s="1" t="n">
        <v>0</v>
      </c>
    </row>
    <row r="496" customFormat="false" ht="15" hidden="false" customHeight="false" outlineLevel="0" collapsed="false">
      <c r="A496" s="1" t="n">
        <v>495</v>
      </c>
      <c r="B496" s="7" t="n">
        <v>46073</v>
      </c>
      <c r="C496" s="7" t="n">
        <v>46073</v>
      </c>
      <c r="D496" s="1" t="n">
        <v>0</v>
      </c>
    </row>
    <row r="497" customFormat="false" ht="15" hidden="false" customHeight="false" outlineLevel="0" collapsed="false">
      <c r="A497" s="1" t="n">
        <v>496</v>
      </c>
      <c r="B497" s="7" t="n">
        <v>46073</v>
      </c>
      <c r="C497" s="7" t="n">
        <v>46073</v>
      </c>
      <c r="D497" s="1" t="n">
        <v>0</v>
      </c>
    </row>
    <row r="498" customFormat="false" ht="15" hidden="false" customHeight="false" outlineLevel="0" collapsed="false">
      <c r="A498" s="1" t="n">
        <v>497</v>
      </c>
      <c r="B498" s="7" t="n">
        <v>46073</v>
      </c>
      <c r="C498" s="7" t="n">
        <v>46073</v>
      </c>
      <c r="D498" s="1" t="n">
        <v>0</v>
      </c>
    </row>
    <row r="499" customFormat="false" ht="15" hidden="false" customHeight="false" outlineLevel="0" collapsed="false">
      <c r="A499" s="1" t="n">
        <v>498</v>
      </c>
      <c r="B499" s="7" t="n">
        <v>46074</v>
      </c>
      <c r="C499" s="7" t="n">
        <v>46074</v>
      </c>
      <c r="D499" s="1" t="n">
        <v>0</v>
      </c>
    </row>
    <row r="500" customFormat="false" ht="15" hidden="false" customHeight="false" outlineLevel="0" collapsed="false">
      <c r="A500" s="1" t="n">
        <v>499</v>
      </c>
      <c r="B500" s="7" t="n">
        <v>46074</v>
      </c>
      <c r="C500" s="7" t="n">
        <v>46074</v>
      </c>
      <c r="D500" s="1" t="n">
        <v>0</v>
      </c>
    </row>
    <row r="501" customFormat="false" ht="15" hidden="false" customHeight="false" outlineLevel="0" collapsed="false">
      <c r="A501" s="1" t="n">
        <v>500</v>
      </c>
      <c r="B501" s="7" t="n">
        <v>46074</v>
      </c>
      <c r="C501" s="7" t="n">
        <v>46074</v>
      </c>
      <c r="D501" s="1" t="n">
        <v>0</v>
      </c>
    </row>
    <row r="502" customFormat="false" ht="15" hidden="false" customHeight="false" outlineLevel="0" collapsed="false">
      <c r="A502" s="1" t="n">
        <v>501</v>
      </c>
      <c r="B502" s="7" t="n">
        <v>46075</v>
      </c>
      <c r="C502" s="7" t="n">
        <v>46075</v>
      </c>
      <c r="D502" s="1" t="n">
        <v>0</v>
      </c>
    </row>
    <row r="503" customFormat="false" ht="15" hidden="false" customHeight="false" outlineLevel="0" collapsed="false">
      <c r="A503" s="1" t="n">
        <v>502</v>
      </c>
      <c r="B503" s="7" t="n">
        <v>46075</v>
      </c>
      <c r="C503" s="7" t="n">
        <v>46075</v>
      </c>
      <c r="D503" s="1" t="n">
        <v>0</v>
      </c>
    </row>
    <row r="504" customFormat="false" ht="15" hidden="false" customHeight="false" outlineLevel="0" collapsed="false">
      <c r="A504" s="1" t="n">
        <v>503</v>
      </c>
      <c r="B504" s="7" t="n">
        <v>46075</v>
      </c>
      <c r="C504" s="7" t="n">
        <v>46075</v>
      </c>
      <c r="D504" s="1" t="n">
        <v>0</v>
      </c>
    </row>
    <row r="505" customFormat="false" ht="15" hidden="false" customHeight="false" outlineLevel="0" collapsed="false">
      <c r="A505" s="1" t="n">
        <v>504</v>
      </c>
      <c r="B505" s="7" t="n">
        <v>46076</v>
      </c>
      <c r="C505" s="7" t="n">
        <v>46076</v>
      </c>
      <c r="D505" s="1" t="n">
        <v>0</v>
      </c>
    </row>
    <row r="506" customFormat="false" ht="15" hidden="false" customHeight="false" outlineLevel="0" collapsed="false">
      <c r="A506" s="1" t="n">
        <v>505</v>
      </c>
      <c r="B506" s="7" t="n">
        <v>46076</v>
      </c>
      <c r="C506" s="7" t="n">
        <v>46076</v>
      </c>
      <c r="D506" s="1" t="n">
        <v>0</v>
      </c>
    </row>
    <row r="507" customFormat="false" ht="15" hidden="false" customHeight="false" outlineLevel="0" collapsed="false">
      <c r="A507" s="1" t="n">
        <v>506</v>
      </c>
      <c r="B507" s="7" t="n">
        <v>46077</v>
      </c>
      <c r="C507" s="7" t="n">
        <v>46077</v>
      </c>
      <c r="D507" s="1" t="n">
        <v>0</v>
      </c>
    </row>
    <row r="508" customFormat="false" ht="15" hidden="false" customHeight="false" outlineLevel="0" collapsed="false">
      <c r="A508" s="1" t="n">
        <v>507</v>
      </c>
      <c r="B508" s="7" t="n">
        <v>46077</v>
      </c>
      <c r="C508" s="7" t="n">
        <v>46077</v>
      </c>
      <c r="D508" s="1" t="n">
        <v>0</v>
      </c>
    </row>
    <row r="509" customFormat="false" ht="15" hidden="false" customHeight="false" outlineLevel="0" collapsed="false">
      <c r="A509" s="1" t="n">
        <v>508</v>
      </c>
      <c r="B509" s="7" t="n">
        <v>46077</v>
      </c>
      <c r="C509" s="7" t="n">
        <v>46077</v>
      </c>
      <c r="D509" s="1" t="n">
        <v>0</v>
      </c>
    </row>
    <row r="510" customFormat="false" ht="15" hidden="false" customHeight="false" outlineLevel="0" collapsed="false">
      <c r="A510" s="1" t="n">
        <v>509</v>
      </c>
      <c r="B510" s="7" t="n">
        <v>46078</v>
      </c>
      <c r="C510" s="7" t="n">
        <v>46078</v>
      </c>
      <c r="D510" s="1" t="n">
        <v>0</v>
      </c>
    </row>
    <row r="511" customFormat="false" ht="15" hidden="false" customHeight="false" outlineLevel="0" collapsed="false">
      <c r="A511" s="1" t="n">
        <v>510</v>
      </c>
      <c r="B511" s="7" t="n">
        <v>46078</v>
      </c>
      <c r="C511" s="7" t="n">
        <v>46078</v>
      </c>
      <c r="D511" s="1" t="n">
        <v>0</v>
      </c>
    </row>
    <row r="512" customFormat="false" ht="15" hidden="false" customHeight="false" outlineLevel="0" collapsed="false">
      <c r="A512" s="1" t="n">
        <v>511</v>
      </c>
      <c r="B512" s="7" t="n">
        <v>46078</v>
      </c>
      <c r="C512" s="7" t="n">
        <v>46078</v>
      </c>
      <c r="D512" s="1" t="n">
        <v>0</v>
      </c>
    </row>
    <row r="513" customFormat="false" ht="15" hidden="false" customHeight="false" outlineLevel="0" collapsed="false">
      <c r="A513" s="1" t="n">
        <v>512</v>
      </c>
      <c r="B513" s="7" t="n">
        <v>46079</v>
      </c>
      <c r="C513" s="7" t="n">
        <v>46079</v>
      </c>
      <c r="D513" s="1" t="n">
        <v>0</v>
      </c>
    </row>
    <row r="514" customFormat="false" ht="15" hidden="false" customHeight="false" outlineLevel="0" collapsed="false">
      <c r="A514" s="1" t="n">
        <v>513</v>
      </c>
      <c r="B514" s="7" t="n">
        <v>46079</v>
      </c>
      <c r="C514" s="7" t="n">
        <v>46079</v>
      </c>
      <c r="D514" s="1" t="n">
        <v>0</v>
      </c>
    </row>
    <row r="515" customFormat="false" ht="15" hidden="false" customHeight="false" outlineLevel="0" collapsed="false">
      <c r="A515" s="1" t="n">
        <v>514</v>
      </c>
      <c r="B515" s="7" t="n">
        <v>46079</v>
      </c>
      <c r="C515" s="7" t="n">
        <v>46079</v>
      </c>
      <c r="D515" s="1" t="n">
        <v>0</v>
      </c>
    </row>
    <row r="516" customFormat="false" ht="15" hidden="false" customHeight="false" outlineLevel="0" collapsed="false">
      <c r="A516" s="1" t="n">
        <v>515</v>
      </c>
      <c r="B516" s="7" t="n">
        <v>46080</v>
      </c>
      <c r="C516" s="7" t="n">
        <v>46080</v>
      </c>
      <c r="D516" s="1" t="n">
        <v>0</v>
      </c>
    </row>
    <row r="517" customFormat="false" ht="15" hidden="false" customHeight="false" outlineLevel="0" collapsed="false">
      <c r="A517" s="1" t="n">
        <v>516</v>
      </c>
      <c r="B517" s="7" t="n">
        <v>46080</v>
      </c>
      <c r="C517" s="7" t="n">
        <v>46080</v>
      </c>
      <c r="D517" s="1" t="n">
        <v>0</v>
      </c>
    </row>
    <row r="518" customFormat="false" ht="15" hidden="false" customHeight="false" outlineLevel="0" collapsed="false">
      <c r="A518" s="1" t="n">
        <v>517</v>
      </c>
      <c r="B518" s="7" t="n">
        <v>46080</v>
      </c>
      <c r="C518" s="7" t="n">
        <v>46080</v>
      </c>
      <c r="D518" s="1" t="n">
        <v>0</v>
      </c>
    </row>
    <row r="519" customFormat="false" ht="15" hidden="false" customHeight="false" outlineLevel="0" collapsed="false">
      <c r="A519" s="1" t="n">
        <v>518</v>
      </c>
      <c r="B519" s="7" t="n">
        <v>46081</v>
      </c>
      <c r="C519" s="7" t="n">
        <v>46081</v>
      </c>
      <c r="D519" s="1" t="n">
        <v>0</v>
      </c>
    </row>
    <row r="520" customFormat="false" ht="15" hidden="false" customHeight="false" outlineLevel="0" collapsed="false">
      <c r="A520" s="1" t="n">
        <v>519</v>
      </c>
      <c r="B520" s="7" t="n">
        <v>46081</v>
      </c>
      <c r="C520" s="7" t="n">
        <v>46081</v>
      </c>
      <c r="D520" s="1" t="n">
        <v>0</v>
      </c>
    </row>
    <row r="521" customFormat="false" ht="15" hidden="false" customHeight="false" outlineLevel="0" collapsed="false">
      <c r="A521" s="1" t="n">
        <v>520</v>
      </c>
      <c r="B521" s="7" t="n">
        <v>46081</v>
      </c>
      <c r="C521" s="7" t="n">
        <v>46081</v>
      </c>
      <c r="D521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8" width="14"/>
    <col collapsed="false" customWidth="true" hidden="false" outlineLevel="0" max="3" min="3" style="1" width="15.28"/>
    <col collapsed="false" customWidth="true" hidden="false" outlineLevel="0" max="4" min="4" style="9" width="18.43"/>
  </cols>
  <sheetData>
    <row r="1" s="10" customFormat="true" ht="15" hidden="false" customHeight="true" outlineLevel="0" collapsed="false">
      <c r="A1" s="10" t="s">
        <v>4</v>
      </c>
      <c r="B1" s="11" t="s">
        <v>5</v>
      </c>
      <c r="C1" s="10" t="s">
        <v>0</v>
      </c>
      <c r="D1" s="12" t="s">
        <v>6</v>
      </c>
    </row>
    <row r="2" customFormat="false" ht="15" hidden="false" customHeight="true" outlineLevel="0" collapsed="false">
      <c r="A2" s="5" t="n">
        <v>3000</v>
      </c>
      <c r="B2" s="6" t="n">
        <v>45900</v>
      </c>
      <c r="C2" s="5" t="n">
        <v>1</v>
      </c>
      <c r="D2" s="9" t="n">
        <f aca="false">_xlfn.XLOOKUP(Commits[[#This Row],[DeploymentID]],Deployments[DeploymentID],Deployments[Prod])-Commits[[#This Row],[DateCommit]]</f>
        <v>1</v>
      </c>
    </row>
    <row r="3" customFormat="false" ht="15" hidden="false" customHeight="true" outlineLevel="0" collapsed="false">
      <c r="A3" s="5" t="n">
        <v>3001</v>
      </c>
      <c r="B3" s="6" t="n">
        <v>45900</v>
      </c>
      <c r="C3" s="5" t="n">
        <v>2</v>
      </c>
      <c r="D3" s="9" t="n">
        <f aca="false">_xlfn.XLOOKUP(Commits[[#This Row],[DeploymentID]],Deployments[DeploymentID],Deployments[Prod])-Commits[[#This Row],[DateCommit]]</f>
        <v>1</v>
      </c>
    </row>
    <row r="4" customFormat="false" ht="15" hidden="false" customHeight="true" outlineLevel="0" collapsed="false">
      <c r="A4" s="5" t="n">
        <v>3002</v>
      </c>
      <c r="B4" s="6" t="n">
        <v>45901</v>
      </c>
      <c r="C4" s="5" t="n">
        <v>3</v>
      </c>
      <c r="D4" s="9" t="n">
        <f aca="false">_xlfn.XLOOKUP(Commits[[#This Row],[DeploymentID]],Deployments[DeploymentID],Deployments[Prod])-Commits[[#This Row],[DateCommit]]</f>
        <v>0</v>
      </c>
    </row>
    <row r="5" customFormat="false" ht="15" hidden="false" customHeight="true" outlineLevel="0" collapsed="false">
      <c r="A5" s="5" t="n">
        <v>3003</v>
      </c>
      <c r="B5" s="6" t="n">
        <v>45901</v>
      </c>
      <c r="C5" s="5" t="n">
        <v>4</v>
      </c>
      <c r="D5" s="9" t="n">
        <f aca="false">_xlfn.XLOOKUP(Commits[[#This Row],[DeploymentID]],Deployments[DeploymentID],Deployments[Prod])-Commits[[#This Row],[DateCommit]]</f>
        <v>1</v>
      </c>
    </row>
    <row r="6" customFormat="false" ht="15" hidden="false" customHeight="true" outlineLevel="0" collapsed="false">
      <c r="A6" s="5" t="n">
        <v>3004</v>
      </c>
      <c r="B6" s="6" t="n">
        <v>45902</v>
      </c>
      <c r="C6" s="5" t="n">
        <v>5</v>
      </c>
      <c r="D6" s="9" t="n">
        <f aca="false">_xlfn.XLOOKUP(Commits[[#This Row],[DeploymentID]],Deployments[DeploymentID],Deployments[Prod])-Commits[[#This Row],[DateCommit]]</f>
        <v>0</v>
      </c>
    </row>
    <row r="7" customFormat="false" ht="15" hidden="false" customHeight="true" outlineLevel="0" collapsed="false">
      <c r="A7" s="5" t="n">
        <v>3005</v>
      </c>
      <c r="B7" s="6" t="n">
        <v>45902</v>
      </c>
      <c r="C7" s="5" t="n">
        <v>6</v>
      </c>
      <c r="D7" s="9" t="n">
        <f aca="false">_xlfn.XLOOKUP(Commits[[#This Row],[DeploymentID]],Deployments[DeploymentID],Deployments[Prod])-Commits[[#This Row],[DateCommit]]</f>
        <v>0</v>
      </c>
    </row>
    <row r="8" customFormat="false" ht="15" hidden="false" customHeight="true" outlineLevel="0" collapsed="false">
      <c r="A8" s="5" t="n">
        <v>3006</v>
      </c>
      <c r="B8" s="6" t="n">
        <v>45903</v>
      </c>
      <c r="C8" s="5" t="n">
        <v>7</v>
      </c>
      <c r="D8" s="9" t="n">
        <f aca="false">_xlfn.XLOOKUP(Commits[[#This Row],[DeploymentID]],Deployments[DeploymentID],Deployments[Prod])-Commits[[#This Row],[DateCommit]]</f>
        <v>0</v>
      </c>
    </row>
    <row r="9" customFormat="false" ht="15" hidden="false" customHeight="true" outlineLevel="0" collapsed="false">
      <c r="A9" s="5" t="n">
        <v>3007</v>
      </c>
      <c r="B9" s="6" t="n">
        <v>45903</v>
      </c>
      <c r="C9" s="5" t="n">
        <v>8</v>
      </c>
      <c r="D9" s="9" t="n">
        <f aca="false">_xlfn.XLOOKUP(Commits[[#This Row],[DeploymentID]],Deployments[DeploymentID],Deployments[Prod])-Commits[[#This Row],[DateCommit]]</f>
        <v>0</v>
      </c>
    </row>
    <row r="10" customFormat="false" ht="15" hidden="false" customHeight="true" outlineLevel="0" collapsed="false">
      <c r="A10" s="5" t="n">
        <v>3008</v>
      </c>
      <c r="B10" s="6" t="n">
        <v>45903</v>
      </c>
      <c r="C10" s="5" t="n">
        <v>9</v>
      </c>
      <c r="D10" s="9" t="n">
        <f aca="false">_xlfn.XLOOKUP(Commits[[#This Row],[DeploymentID]],Deployments[DeploymentID],Deployments[Prod])-Commits[[#This Row],[DateCommit]]</f>
        <v>1</v>
      </c>
    </row>
    <row r="11" customFormat="false" ht="15" hidden="false" customHeight="true" outlineLevel="0" collapsed="false">
      <c r="A11" s="5" t="n">
        <v>3009</v>
      </c>
      <c r="B11" s="6" t="n">
        <v>45904</v>
      </c>
      <c r="C11" s="5" t="n">
        <v>10</v>
      </c>
      <c r="D11" s="9" t="n">
        <f aca="false">_xlfn.XLOOKUP(Commits[[#This Row],[DeploymentID]],Deployments[DeploymentID],Deployments[Prod])-Commits[[#This Row],[DateCommit]]</f>
        <v>0</v>
      </c>
    </row>
    <row r="12" customFormat="false" ht="15" hidden="false" customHeight="true" outlineLevel="0" collapsed="false">
      <c r="A12" s="5" t="n">
        <v>3010</v>
      </c>
      <c r="B12" s="6" t="n">
        <v>45904</v>
      </c>
      <c r="C12" s="5" t="n">
        <v>11</v>
      </c>
      <c r="D12" s="9" t="n">
        <f aca="false">_xlfn.XLOOKUP(Commits[[#This Row],[DeploymentID]],Deployments[DeploymentID],Deployments[Prod])-Commits[[#This Row],[DateCommit]]</f>
        <v>0</v>
      </c>
    </row>
    <row r="13" customFormat="false" ht="15" hidden="false" customHeight="true" outlineLevel="0" collapsed="false">
      <c r="A13" s="5" t="n">
        <v>3011</v>
      </c>
      <c r="B13" s="6" t="n">
        <v>45904</v>
      </c>
      <c r="C13" s="5" t="n">
        <v>12</v>
      </c>
      <c r="D13" s="9" t="n">
        <f aca="false">_xlfn.XLOOKUP(Commits[[#This Row],[DeploymentID]],Deployments[DeploymentID],Deployments[Prod])-Commits[[#This Row],[DateCommit]]</f>
        <v>1</v>
      </c>
    </row>
    <row r="14" customFormat="false" ht="15" hidden="false" customHeight="true" outlineLevel="0" collapsed="false">
      <c r="A14" s="5" t="n">
        <v>3012</v>
      </c>
      <c r="B14" s="6" t="n">
        <v>45905</v>
      </c>
      <c r="C14" s="5" t="n">
        <v>13</v>
      </c>
      <c r="D14" s="9" t="n">
        <f aca="false">_xlfn.XLOOKUP(Commits[[#This Row],[DeploymentID]],Deployments[DeploymentID],Deployments[Prod])-Commits[[#This Row],[DateCommit]]</f>
        <v>0</v>
      </c>
    </row>
    <row r="15" customFormat="false" ht="15" hidden="false" customHeight="true" outlineLevel="0" collapsed="false">
      <c r="A15" s="5" t="n">
        <v>3014</v>
      </c>
      <c r="B15" s="6" t="n">
        <v>45906</v>
      </c>
      <c r="C15" s="5" t="n">
        <v>15</v>
      </c>
      <c r="D15" s="9" t="n">
        <f aca="false">_xlfn.XLOOKUP(Commits[[#This Row],[DeploymentID]],Deployments[DeploymentID],Deployments[Prod])-Commits[[#This Row],[DateCommit]]</f>
        <v>0</v>
      </c>
    </row>
    <row r="16" customFormat="false" ht="15" hidden="false" customHeight="true" outlineLevel="0" collapsed="false">
      <c r="A16" s="5" t="n">
        <v>3015</v>
      </c>
      <c r="B16" s="6" t="n">
        <v>45906</v>
      </c>
      <c r="C16" s="5" t="n">
        <v>16</v>
      </c>
      <c r="D16" s="9" t="n">
        <f aca="false">_xlfn.XLOOKUP(Commits[[#This Row],[DeploymentID]],Deployments[DeploymentID],Deployments[Prod])-Commits[[#This Row],[DateCommit]]</f>
        <v>0</v>
      </c>
    </row>
    <row r="17" customFormat="false" ht="15" hidden="false" customHeight="true" outlineLevel="0" collapsed="false">
      <c r="A17" s="5" t="n">
        <v>3016</v>
      </c>
      <c r="B17" s="6" t="n">
        <v>45906</v>
      </c>
      <c r="C17" s="5" t="n">
        <v>17</v>
      </c>
      <c r="D17" s="9" t="n">
        <f aca="false">_xlfn.XLOOKUP(Commits[[#This Row],[DeploymentID]],Deployments[DeploymentID],Deployments[Prod])-Commits[[#This Row],[DateCommit]]</f>
        <v>1</v>
      </c>
    </row>
    <row r="18" customFormat="false" ht="15" hidden="false" customHeight="true" outlineLevel="0" collapsed="false">
      <c r="A18" s="5" t="n">
        <v>3017</v>
      </c>
      <c r="B18" s="6" t="n">
        <v>45906</v>
      </c>
      <c r="C18" s="5" t="n">
        <v>18</v>
      </c>
      <c r="D18" s="9" t="n">
        <f aca="false">_xlfn.XLOOKUP(Commits[[#This Row],[DeploymentID]],Deployments[DeploymentID],Deployments[Prod])-Commits[[#This Row],[DateCommit]]</f>
        <v>1</v>
      </c>
    </row>
    <row r="19" customFormat="false" ht="15" hidden="false" customHeight="true" outlineLevel="0" collapsed="false">
      <c r="A19" s="5" t="n">
        <v>3018</v>
      </c>
      <c r="B19" s="6" t="n">
        <v>45907</v>
      </c>
      <c r="C19" s="5" t="n">
        <v>19</v>
      </c>
      <c r="D19" s="9" t="n">
        <f aca="false">_xlfn.XLOOKUP(Commits[[#This Row],[DeploymentID]],Deployments[DeploymentID],Deployments[Prod])-Commits[[#This Row],[DateCommit]]</f>
        <v>0</v>
      </c>
    </row>
    <row r="20" customFormat="false" ht="15" hidden="false" customHeight="true" outlineLevel="0" collapsed="false">
      <c r="A20" s="5" t="n">
        <v>3019</v>
      </c>
      <c r="B20" s="6" t="n">
        <v>45907</v>
      </c>
      <c r="C20" s="5" t="n">
        <v>20</v>
      </c>
      <c r="D20" s="9" t="n">
        <f aca="false">_xlfn.XLOOKUP(Commits[[#This Row],[DeploymentID]],Deployments[DeploymentID],Deployments[Prod])-Commits[[#This Row],[DateCommit]]</f>
        <v>1</v>
      </c>
    </row>
    <row r="21" customFormat="false" ht="15" hidden="false" customHeight="true" outlineLevel="0" collapsed="false">
      <c r="A21" s="5" t="n">
        <v>3020</v>
      </c>
      <c r="B21" s="6" t="n">
        <v>45908</v>
      </c>
      <c r="C21" s="5" t="n">
        <v>21</v>
      </c>
      <c r="D21" s="9" t="n">
        <f aca="false">_xlfn.XLOOKUP(Commits[[#This Row],[DeploymentID]],Deployments[DeploymentID],Deployments[Prod])-Commits[[#This Row],[DateCommit]]</f>
        <v>0</v>
      </c>
    </row>
    <row r="22" customFormat="false" ht="15" hidden="false" customHeight="true" outlineLevel="0" collapsed="false">
      <c r="A22" s="5" t="n">
        <v>3021</v>
      </c>
      <c r="B22" s="6" t="n">
        <v>45908</v>
      </c>
      <c r="C22" s="5" t="n">
        <v>22</v>
      </c>
      <c r="D22" s="9" t="n">
        <f aca="false">_xlfn.XLOOKUP(Commits[[#This Row],[DeploymentID]],Deployments[DeploymentID],Deployments[Prod])-Commits[[#This Row],[DateCommit]]</f>
        <v>0</v>
      </c>
    </row>
    <row r="23" customFormat="false" ht="15" hidden="false" customHeight="true" outlineLevel="0" collapsed="false">
      <c r="A23" s="5" t="n">
        <v>3022</v>
      </c>
      <c r="B23" s="6" t="n">
        <v>45908</v>
      </c>
      <c r="C23" s="5" t="n">
        <v>23</v>
      </c>
      <c r="D23" s="9" t="n">
        <f aca="false">_xlfn.XLOOKUP(Commits[[#This Row],[DeploymentID]],Deployments[DeploymentID],Deployments[Prod])-Commits[[#This Row],[DateCommit]]</f>
        <v>1</v>
      </c>
    </row>
    <row r="24" customFormat="false" ht="15" hidden="false" customHeight="true" outlineLevel="0" collapsed="false">
      <c r="A24" s="5" t="n">
        <v>3023</v>
      </c>
      <c r="B24" s="6" t="n">
        <v>45909</v>
      </c>
      <c r="C24" s="5" t="n">
        <v>24</v>
      </c>
      <c r="D24" s="9" t="n">
        <f aca="false">_xlfn.XLOOKUP(Commits[[#This Row],[DeploymentID]],Deployments[DeploymentID],Deployments[Prod])-Commits[[#This Row],[DateCommit]]</f>
        <v>0</v>
      </c>
    </row>
    <row r="25" customFormat="false" ht="15" hidden="false" customHeight="true" outlineLevel="0" collapsed="false">
      <c r="A25" s="5" t="n">
        <v>3024</v>
      </c>
      <c r="B25" s="6" t="n">
        <v>45909</v>
      </c>
      <c r="C25" s="5" t="n">
        <v>25</v>
      </c>
      <c r="D25" s="9" t="n">
        <f aca="false">_xlfn.XLOOKUP(Commits[[#This Row],[DeploymentID]],Deployments[DeploymentID],Deployments[Prod])-Commits[[#This Row],[DateCommit]]</f>
        <v>0</v>
      </c>
    </row>
    <row r="26" customFormat="false" ht="15" hidden="false" customHeight="true" outlineLevel="0" collapsed="false">
      <c r="A26" s="5" t="n">
        <v>3025</v>
      </c>
      <c r="B26" s="6" t="n">
        <v>45909</v>
      </c>
      <c r="C26" s="5" t="n">
        <v>26</v>
      </c>
      <c r="D26" s="9" t="n">
        <f aca="false">_xlfn.XLOOKUP(Commits[[#This Row],[DeploymentID]],Deployments[DeploymentID],Deployments[Prod])-Commits[[#This Row],[DateCommit]]</f>
        <v>1</v>
      </c>
    </row>
    <row r="27" customFormat="false" ht="15" hidden="false" customHeight="true" outlineLevel="0" collapsed="false">
      <c r="A27" s="5" t="n">
        <v>3026</v>
      </c>
      <c r="B27" s="6" t="n">
        <v>45909</v>
      </c>
      <c r="C27" s="5" t="n">
        <v>27</v>
      </c>
      <c r="D27" s="9" t="n">
        <f aca="false">_xlfn.XLOOKUP(Commits[[#This Row],[DeploymentID]],Deployments[DeploymentID],Deployments[Prod])-Commits[[#This Row],[DateCommit]]</f>
        <v>1</v>
      </c>
    </row>
    <row r="28" customFormat="false" ht="15" hidden="false" customHeight="true" outlineLevel="0" collapsed="false">
      <c r="A28" s="5" t="n">
        <v>3027</v>
      </c>
      <c r="B28" s="6" t="n">
        <v>45910</v>
      </c>
      <c r="C28" s="5" t="n">
        <v>28</v>
      </c>
      <c r="D28" s="9" t="n">
        <f aca="false">_xlfn.XLOOKUP(Commits[[#This Row],[DeploymentID]],Deployments[DeploymentID],Deployments[Prod])-Commits[[#This Row],[DateCommit]]</f>
        <v>0</v>
      </c>
    </row>
    <row r="29" customFormat="false" ht="15" hidden="false" customHeight="true" outlineLevel="0" collapsed="false">
      <c r="A29" s="5" t="n">
        <v>3028</v>
      </c>
      <c r="B29" s="6" t="n">
        <v>45910</v>
      </c>
      <c r="C29" s="5" t="n">
        <v>29</v>
      </c>
      <c r="D29" s="9" t="n">
        <f aca="false">_xlfn.XLOOKUP(Commits[[#This Row],[DeploymentID]],Deployments[DeploymentID],Deployments[Prod])-Commits[[#This Row],[DateCommit]]</f>
        <v>1</v>
      </c>
    </row>
    <row r="30" customFormat="false" ht="15" hidden="false" customHeight="true" outlineLevel="0" collapsed="false">
      <c r="A30" s="5" t="n">
        <v>3029</v>
      </c>
      <c r="B30" s="6" t="n">
        <v>45911</v>
      </c>
      <c r="C30" s="5" t="n">
        <v>30</v>
      </c>
      <c r="D30" s="9" t="n">
        <f aca="false">_xlfn.XLOOKUP(Commits[[#This Row],[DeploymentID]],Deployments[DeploymentID],Deployments[Prod])-Commits[[#This Row],[DateCommit]]</f>
        <v>0</v>
      </c>
    </row>
    <row r="31" customFormat="false" ht="15" hidden="false" customHeight="true" outlineLevel="0" collapsed="false">
      <c r="A31" s="5" t="n">
        <v>3030</v>
      </c>
      <c r="B31" s="6" t="n">
        <v>45911</v>
      </c>
      <c r="C31" s="5" t="n">
        <v>31</v>
      </c>
      <c r="D31" s="9" t="n">
        <f aca="false">_xlfn.XLOOKUP(Commits[[#This Row],[DeploymentID]],Deployments[DeploymentID],Deployments[Prod])-Commits[[#This Row],[DateCommit]]</f>
        <v>1</v>
      </c>
    </row>
    <row r="32" customFormat="false" ht="15" hidden="false" customHeight="true" outlineLevel="0" collapsed="false">
      <c r="A32" s="5" t="n">
        <v>3031</v>
      </c>
      <c r="B32" s="6" t="n">
        <v>45912</v>
      </c>
      <c r="C32" s="5" t="n">
        <v>32</v>
      </c>
      <c r="D32" s="9" t="n">
        <f aca="false">_xlfn.XLOOKUP(Commits[[#This Row],[DeploymentID]],Deployments[DeploymentID],Deployments[Prod])-Commits[[#This Row],[DateCommit]]</f>
        <v>0</v>
      </c>
    </row>
    <row r="33" customFormat="false" ht="15" hidden="false" customHeight="true" outlineLevel="0" collapsed="false">
      <c r="A33" s="5" t="n">
        <v>3033</v>
      </c>
      <c r="B33" s="6" t="n">
        <v>45912</v>
      </c>
      <c r="C33" s="5" t="n">
        <v>34</v>
      </c>
      <c r="D33" s="9" t="n">
        <f aca="false">_xlfn.XLOOKUP(Commits[[#This Row],[DeploymentID]],Deployments[DeploymentID],Deployments[Prod])-Commits[[#This Row],[DateCommit]]</f>
        <v>1</v>
      </c>
    </row>
    <row r="34" customFormat="false" ht="15" hidden="false" customHeight="true" outlineLevel="0" collapsed="false">
      <c r="A34" s="5" t="n">
        <v>3034</v>
      </c>
      <c r="B34" s="6" t="n">
        <v>45912</v>
      </c>
      <c r="C34" s="5" t="n">
        <v>35</v>
      </c>
      <c r="D34" s="9" t="n">
        <f aca="false">_xlfn.XLOOKUP(Commits[[#This Row],[DeploymentID]],Deployments[DeploymentID],Deployments[Prod])-Commits[[#This Row],[DateCommit]]</f>
        <v>1</v>
      </c>
    </row>
    <row r="35" customFormat="false" ht="15" hidden="false" customHeight="true" outlineLevel="0" collapsed="false">
      <c r="A35" s="5" t="n">
        <v>3035</v>
      </c>
      <c r="B35" s="6" t="n">
        <v>45913</v>
      </c>
      <c r="C35" s="5" t="n">
        <v>36</v>
      </c>
      <c r="D35" s="9" t="n">
        <f aca="false">_xlfn.XLOOKUP(Commits[[#This Row],[DeploymentID]],Deployments[DeploymentID],Deployments[Prod])-Commits[[#This Row],[DateCommit]]</f>
        <v>0</v>
      </c>
    </row>
    <row r="36" customFormat="false" ht="15" hidden="false" customHeight="true" outlineLevel="0" collapsed="false">
      <c r="A36" s="5" t="n">
        <v>3037</v>
      </c>
      <c r="B36" s="6" t="n">
        <v>45913</v>
      </c>
      <c r="C36" s="5" t="n">
        <v>38</v>
      </c>
      <c r="D36" s="9" t="n">
        <f aca="false">_xlfn.XLOOKUP(Commits[[#This Row],[DeploymentID]],Deployments[DeploymentID],Deployments[Prod])-Commits[[#This Row],[DateCommit]]</f>
        <v>1</v>
      </c>
    </row>
    <row r="37" customFormat="false" ht="15" hidden="false" customHeight="true" outlineLevel="0" collapsed="false">
      <c r="A37" s="5" t="n">
        <v>3036</v>
      </c>
      <c r="B37" s="6" t="n">
        <v>45914</v>
      </c>
      <c r="C37" s="5" t="n">
        <v>37</v>
      </c>
      <c r="D37" s="9" t="n">
        <f aca="false">_xlfn.XLOOKUP(Commits[[#This Row],[DeploymentID]],Deployments[DeploymentID],Deployments[Prod])-Commits[[#This Row],[DateCommit]]</f>
        <v>0</v>
      </c>
    </row>
    <row r="38" customFormat="false" ht="15" hidden="false" customHeight="true" outlineLevel="0" collapsed="false">
      <c r="A38" s="5" t="n">
        <v>3038</v>
      </c>
      <c r="B38" s="6" t="n">
        <v>45914</v>
      </c>
      <c r="C38" s="5" t="n">
        <v>39</v>
      </c>
      <c r="D38" s="9" t="n">
        <f aca="false">_xlfn.XLOOKUP(Commits[[#This Row],[DeploymentID]],Deployments[DeploymentID],Deployments[Prod])-Commits[[#This Row],[DateCommit]]</f>
        <v>0</v>
      </c>
    </row>
    <row r="39" customFormat="false" ht="15" hidden="false" customHeight="true" outlineLevel="0" collapsed="false">
      <c r="A39" s="5" t="n">
        <v>3039</v>
      </c>
      <c r="B39" s="6" t="n">
        <v>45914</v>
      </c>
      <c r="C39" s="5" t="n">
        <v>40</v>
      </c>
      <c r="D39" s="9" t="n">
        <f aca="false">_xlfn.XLOOKUP(Commits[[#This Row],[DeploymentID]],Deployments[DeploymentID],Deployments[Prod])-Commits[[#This Row],[DateCommit]]</f>
        <v>1</v>
      </c>
    </row>
    <row r="40" customFormat="false" ht="15" hidden="false" customHeight="true" outlineLevel="0" collapsed="false">
      <c r="A40" s="5" t="n">
        <v>3040</v>
      </c>
      <c r="B40" s="6" t="n">
        <v>45915</v>
      </c>
      <c r="C40" s="5" t="n">
        <v>41</v>
      </c>
      <c r="D40" s="9" t="n">
        <f aca="false">_xlfn.XLOOKUP(Commits[[#This Row],[DeploymentID]],Deployments[DeploymentID],Deployments[Prod])-Commits[[#This Row],[DateCommit]]</f>
        <v>0</v>
      </c>
    </row>
    <row r="41" customFormat="false" ht="15" hidden="false" customHeight="true" outlineLevel="0" collapsed="false">
      <c r="A41" s="5" t="n">
        <v>3041</v>
      </c>
      <c r="B41" s="6" t="n">
        <v>45915</v>
      </c>
      <c r="C41" s="5" t="n">
        <v>42</v>
      </c>
      <c r="D41" s="9" t="n">
        <f aca="false">_xlfn.XLOOKUP(Commits[[#This Row],[DeploymentID]],Deployments[DeploymentID],Deployments[Prod])-Commits[[#This Row],[DateCommit]]</f>
        <v>0</v>
      </c>
    </row>
    <row r="42" customFormat="false" ht="15" hidden="false" customHeight="true" outlineLevel="0" collapsed="false">
      <c r="A42" s="5" t="n">
        <v>3042</v>
      </c>
      <c r="B42" s="6" t="n">
        <v>45915</v>
      </c>
      <c r="C42" s="5" t="n">
        <v>43</v>
      </c>
      <c r="D42" s="9" t="n">
        <f aca="false">_xlfn.XLOOKUP(Commits[[#This Row],[DeploymentID]],Deployments[DeploymentID],Deployments[Prod])-Commits[[#This Row],[DateCommit]]</f>
        <v>1</v>
      </c>
    </row>
    <row r="43" customFormat="false" ht="15" hidden="false" customHeight="true" outlineLevel="0" collapsed="false">
      <c r="A43" s="5" t="n">
        <v>3043</v>
      </c>
      <c r="B43" s="6" t="n">
        <v>45915</v>
      </c>
      <c r="C43" s="5" t="n">
        <v>44</v>
      </c>
      <c r="D43" s="9" t="n">
        <f aca="false">_xlfn.XLOOKUP(Commits[[#This Row],[DeploymentID]],Deployments[DeploymentID],Deployments[Prod])-Commits[[#This Row],[DateCommit]]</f>
        <v>1</v>
      </c>
    </row>
    <row r="44" customFormat="false" ht="15" hidden="false" customHeight="true" outlineLevel="0" collapsed="false">
      <c r="A44" s="5" t="n">
        <v>3044</v>
      </c>
      <c r="B44" s="6" t="n">
        <v>45916</v>
      </c>
      <c r="C44" s="5" t="n">
        <v>45</v>
      </c>
      <c r="D44" s="9" t="n">
        <f aca="false">_xlfn.XLOOKUP(Commits[[#This Row],[DeploymentID]],Deployments[DeploymentID],Deployments[Prod])-Commits[[#This Row],[DateCommit]]</f>
        <v>0</v>
      </c>
    </row>
    <row r="45" customFormat="false" ht="15" hidden="false" customHeight="true" outlineLevel="0" collapsed="false">
      <c r="A45" s="5" t="n">
        <v>3045</v>
      </c>
      <c r="B45" s="6" t="n">
        <v>45917</v>
      </c>
      <c r="C45" s="5" t="n">
        <v>46</v>
      </c>
      <c r="D45" s="9" t="n">
        <f aca="false">_xlfn.XLOOKUP(Commits[[#This Row],[DeploymentID]],Deployments[DeploymentID],Deployments[Prod])-Commits[[#This Row],[DateCommit]]</f>
        <v>0</v>
      </c>
    </row>
    <row r="46" customFormat="false" ht="15" hidden="false" customHeight="true" outlineLevel="0" collapsed="false">
      <c r="A46" s="5" t="n">
        <v>3046</v>
      </c>
      <c r="B46" s="6" t="n">
        <v>45917</v>
      </c>
      <c r="C46" s="5" t="n">
        <v>47</v>
      </c>
      <c r="D46" s="9" t="n">
        <f aca="false">_xlfn.XLOOKUP(Commits[[#This Row],[DeploymentID]],Deployments[DeploymentID],Deployments[Prod])-Commits[[#This Row],[DateCommit]]</f>
        <v>0</v>
      </c>
    </row>
    <row r="47" customFormat="false" ht="15" hidden="false" customHeight="true" outlineLevel="0" collapsed="false">
      <c r="A47" s="5" t="n">
        <v>3047</v>
      </c>
      <c r="B47" s="6" t="n">
        <v>45917</v>
      </c>
      <c r="C47" s="5" t="n">
        <v>48</v>
      </c>
      <c r="D47" s="9" t="n">
        <f aca="false">_xlfn.XLOOKUP(Commits[[#This Row],[DeploymentID]],Deployments[DeploymentID],Deployments[Prod])-Commits[[#This Row],[DateCommit]]</f>
        <v>1</v>
      </c>
    </row>
    <row r="48" customFormat="false" ht="15" hidden="false" customHeight="true" outlineLevel="0" collapsed="false">
      <c r="A48" s="5" t="n">
        <v>3048</v>
      </c>
      <c r="B48" s="6" t="n">
        <v>45917</v>
      </c>
      <c r="C48" s="5" t="n">
        <v>49</v>
      </c>
      <c r="D48" s="9" t="n">
        <f aca="false">_xlfn.XLOOKUP(Commits[[#This Row],[DeploymentID]],Deployments[DeploymentID],Deployments[Prod])-Commits[[#This Row],[DateCommit]]</f>
        <v>1</v>
      </c>
    </row>
    <row r="49" customFormat="false" ht="15" hidden="false" customHeight="true" outlineLevel="0" collapsed="false">
      <c r="A49" s="5" t="n">
        <v>3049</v>
      </c>
      <c r="B49" s="6" t="n">
        <v>45918</v>
      </c>
      <c r="C49" s="5" t="n">
        <v>50</v>
      </c>
      <c r="D49" s="9" t="n">
        <f aca="false">_xlfn.XLOOKUP(Commits[[#This Row],[DeploymentID]],Deployments[DeploymentID],Deployments[Prod])-Commits[[#This Row],[DateCommit]]</f>
        <v>0</v>
      </c>
    </row>
    <row r="50" customFormat="false" ht="15" hidden="false" customHeight="true" outlineLevel="0" collapsed="false">
      <c r="A50" s="5" t="n">
        <v>3050</v>
      </c>
      <c r="B50" s="6" t="n">
        <v>45918</v>
      </c>
      <c r="C50" s="5" t="n">
        <v>51</v>
      </c>
      <c r="D50" s="9" t="n">
        <f aca="false">_xlfn.XLOOKUP(Commits[[#This Row],[DeploymentID]],Deployments[DeploymentID],Deployments[Prod])-Commits[[#This Row],[DateCommit]]</f>
        <v>0</v>
      </c>
    </row>
    <row r="51" customFormat="false" ht="15" hidden="false" customHeight="true" outlineLevel="0" collapsed="false">
      <c r="A51" s="5" t="n">
        <v>3051</v>
      </c>
      <c r="B51" s="6" t="n">
        <v>45918</v>
      </c>
      <c r="C51" s="5" t="n">
        <v>52</v>
      </c>
      <c r="D51" s="9" t="n">
        <f aca="false">_xlfn.XLOOKUP(Commits[[#This Row],[DeploymentID]],Deployments[DeploymentID],Deployments[Prod])-Commits[[#This Row],[DateCommit]]</f>
        <v>1</v>
      </c>
    </row>
    <row r="52" customFormat="false" ht="15" hidden="false" customHeight="true" outlineLevel="0" collapsed="false">
      <c r="A52" s="5" t="n">
        <v>3053</v>
      </c>
      <c r="B52" s="6" t="n">
        <v>45918</v>
      </c>
      <c r="C52" s="5" t="n">
        <v>54</v>
      </c>
      <c r="D52" s="9" t="n">
        <f aca="false">_xlfn.XLOOKUP(Commits[[#This Row],[DeploymentID]],Deployments[DeploymentID],Deployments[Prod])-Commits[[#This Row],[DateCommit]]</f>
        <v>1</v>
      </c>
    </row>
    <row r="53" customFormat="false" ht="15" hidden="false" customHeight="true" outlineLevel="0" collapsed="false">
      <c r="A53" s="5" t="n">
        <v>3052</v>
      </c>
      <c r="B53" s="6" t="n">
        <v>45919</v>
      </c>
      <c r="C53" s="5" t="n">
        <v>53</v>
      </c>
      <c r="D53" s="9" t="n">
        <f aca="false">_xlfn.XLOOKUP(Commits[[#This Row],[DeploymentID]],Deployments[DeploymentID],Deployments[Prod])-Commits[[#This Row],[DateCommit]]</f>
        <v>0</v>
      </c>
    </row>
    <row r="54" customFormat="false" ht="15" hidden="false" customHeight="true" outlineLevel="0" collapsed="false">
      <c r="A54" s="5" t="n">
        <v>3054</v>
      </c>
      <c r="B54" s="6" t="n">
        <v>45919</v>
      </c>
      <c r="C54" s="5" t="n">
        <v>55</v>
      </c>
      <c r="D54" s="9" t="n">
        <f aca="false">_xlfn.XLOOKUP(Commits[[#This Row],[DeploymentID]],Deployments[DeploymentID],Deployments[Prod])-Commits[[#This Row],[DateCommit]]</f>
        <v>0</v>
      </c>
    </row>
    <row r="55" customFormat="false" ht="15" hidden="false" customHeight="true" outlineLevel="0" collapsed="false">
      <c r="A55" s="5" t="n">
        <v>3055</v>
      </c>
      <c r="B55" s="6" t="n">
        <v>45920</v>
      </c>
      <c r="C55" s="5" t="n">
        <v>56</v>
      </c>
      <c r="D55" s="9" t="n">
        <f aca="false">_xlfn.XLOOKUP(Commits[[#This Row],[DeploymentID]],Deployments[DeploymentID],Deployments[Prod])-Commits[[#This Row],[DateCommit]]</f>
        <v>0</v>
      </c>
    </row>
    <row r="56" customFormat="false" ht="15" hidden="false" customHeight="true" outlineLevel="0" collapsed="false">
      <c r="A56" s="5" t="n">
        <v>3056</v>
      </c>
      <c r="B56" s="6" t="n">
        <v>45920</v>
      </c>
      <c r="C56" s="5" t="n">
        <v>57</v>
      </c>
      <c r="D56" s="9" t="n">
        <f aca="false">_xlfn.XLOOKUP(Commits[[#This Row],[DeploymentID]],Deployments[DeploymentID],Deployments[Prod])-Commits[[#This Row],[DateCommit]]</f>
        <v>0</v>
      </c>
    </row>
    <row r="57" customFormat="false" ht="15" hidden="false" customHeight="true" outlineLevel="0" collapsed="false">
      <c r="A57" s="5" t="n">
        <v>3057</v>
      </c>
      <c r="B57" s="6" t="n">
        <v>45920</v>
      </c>
      <c r="C57" s="5" t="n">
        <v>58</v>
      </c>
      <c r="D57" s="9" t="n">
        <f aca="false">_xlfn.XLOOKUP(Commits[[#This Row],[DeploymentID]],Deployments[DeploymentID],Deployments[Prod])-Commits[[#This Row],[DateCommit]]</f>
        <v>0</v>
      </c>
    </row>
    <row r="58" customFormat="false" ht="15" hidden="false" customHeight="true" outlineLevel="0" collapsed="false">
      <c r="A58" s="5" t="n">
        <v>3058</v>
      </c>
      <c r="B58" s="6" t="n">
        <v>45921</v>
      </c>
      <c r="C58" s="5" t="n">
        <v>59</v>
      </c>
      <c r="D58" s="9" t="n">
        <f aca="false">_xlfn.XLOOKUP(Commits[[#This Row],[DeploymentID]],Deployments[DeploymentID],Deployments[Prod])-Commits[[#This Row],[DateCommit]]</f>
        <v>0</v>
      </c>
    </row>
    <row r="59" customFormat="false" ht="15" hidden="false" customHeight="true" outlineLevel="0" collapsed="false">
      <c r="A59" s="5" t="n">
        <v>3059</v>
      </c>
      <c r="B59" s="6" t="n">
        <v>45921</v>
      </c>
      <c r="C59" s="5" t="n">
        <v>60</v>
      </c>
      <c r="D59" s="9" t="n">
        <f aca="false">_xlfn.XLOOKUP(Commits[[#This Row],[DeploymentID]],Deployments[DeploymentID],Deployments[Prod])-Commits[[#This Row],[DateCommit]]</f>
        <v>0</v>
      </c>
    </row>
    <row r="60" customFormat="false" ht="15" hidden="false" customHeight="false" outlineLevel="0" collapsed="false">
      <c r="A60" s="1" t="n">
        <v>3060</v>
      </c>
      <c r="B60" s="7" t="n">
        <v>45921</v>
      </c>
      <c r="C60" s="1" t="n">
        <v>61</v>
      </c>
      <c r="D60" s="13" t="n">
        <f aca="false">_xlfn.XLOOKUP(Commits[[#This Row],[DeploymentID]],Deployments[DeploymentID],Deployments[Prod])-Commits[[#This Row],[DateCommit]]</f>
        <v>0</v>
      </c>
    </row>
    <row r="61" customFormat="false" ht="15" hidden="false" customHeight="false" outlineLevel="0" collapsed="false">
      <c r="A61" s="1" t="n">
        <v>3061</v>
      </c>
      <c r="B61" s="7" t="n">
        <v>45921</v>
      </c>
      <c r="C61" s="1" t="n">
        <v>62</v>
      </c>
      <c r="D61" s="13" t="n">
        <f aca="false">_xlfn.XLOOKUP(Commits[[#This Row],[DeploymentID]],Deployments[DeploymentID],Deployments[Prod])-Commits[[#This Row],[DateCommit]]</f>
        <v>1</v>
      </c>
    </row>
    <row r="62" customFormat="false" ht="15" hidden="false" customHeight="false" outlineLevel="0" collapsed="false">
      <c r="A62" s="1" t="n">
        <v>3062</v>
      </c>
      <c r="B62" s="7" t="n">
        <v>45921</v>
      </c>
      <c r="C62" s="1" t="n">
        <v>63</v>
      </c>
      <c r="D62" s="13" t="n">
        <f aca="false">_xlfn.XLOOKUP(Commits[[#This Row],[DeploymentID]],Deployments[DeploymentID],Deployments[Prod])-Commits[[#This Row],[DateCommit]]</f>
        <v>1</v>
      </c>
    </row>
    <row r="63" customFormat="false" ht="15" hidden="false" customHeight="false" outlineLevel="0" collapsed="false">
      <c r="A63" s="1" t="n">
        <v>3063</v>
      </c>
      <c r="B63" s="7" t="n">
        <v>45922</v>
      </c>
      <c r="C63" s="1" t="n">
        <v>64</v>
      </c>
      <c r="D63" s="13" t="n">
        <f aca="false">_xlfn.XLOOKUP(Commits[[#This Row],[DeploymentID]],Deployments[DeploymentID],Deployments[Prod])-Commits[[#This Row],[DateCommit]]</f>
        <v>0</v>
      </c>
    </row>
    <row r="64" customFormat="false" ht="15" hidden="false" customHeight="false" outlineLevel="0" collapsed="false">
      <c r="A64" s="1" t="n">
        <v>3064</v>
      </c>
      <c r="B64" s="7" t="n">
        <v>45922</v>
      </c>
      <c r="C64" s="1" t="n">
        <v>65</v>
      </c>
      <c r="D64" s="13" t="n">
        <f aca="false">_xlfn.XLOOKUP(Commits[[#This Row],[DeploymentID]],Deployments[DeploymentID],Deployments[Prod])-Commits[[#This Row],[DateCommit]]</f>
        <v>1</v>
      </c>
    </row>
    <row r="65" customFormat="false" ht="15" hidden="false" customHeight="false" outlineLevel="0" collapsed="false">
      <c r="A65" s="1" t="n">
        <v>3065</v>
      </c>
      <c r="B65" s="7" t="n">
        <v>45923</v>
      </c>
      <c r="C65" s="1" t="n">
        <v>66</v>
      </c>
      <c r="D65" s="13" t="n">
        <f aca="false">_xlfn.XLOOKUP(Commits[[#This Row],[DeploymentID]],Deployments[DeploymentID],Deployments[Prod])-Commits[[#This Row],[DateCommit]]</f>
        <v>0</v>
      </c>
    </row>
    <row r="66" customFormat="false" ht="15" hidden="false" customHeight="false" outlineLevel="0" collapsed="false">
      <c r="A66" s="1" t="n">
        <v>3066</v>
      </c>
      <c r="B66" s="7" t="n">
        <v>45923</v>
      </c>
      <c r="C66" s="1" t="n">
        <v>67</v>
      </c>
      <c r="D66" s="13" t="n">
        <f aca="false">_xlfn.XLOOKUP(Commits[[#This Row],[DeploymentID]],Deployments[DeploymentID],Deployments[Prod])-Commits[[#This Row],[DateCommit]]</f>
        <v>1</v>
      </c>
    </row>
    <row r="67" customFormat="false" ht="15" hidden="false" customHeight="false" outlineLevel="0" collapsed="false">
      <c r="A67" s="1" t="n">
        <v>3067</v>
      </c>
      <c r="B67" s="7" t="n">
        <v>45923</v>
      </c>
      <c r="C67" s="1" t="n">
        <v>68</v>
      </c>
      <c r="D67" s="13" t="n">
        <f aca="false">_xlfn.XLOOKUP(Commits[[#This Row],[DeploymentID]],Deployments[DeploymentID],Deployments[Prod])-Commits[[#This Row],[DateCommit]]</f>
        <v>1</v>
      </c>
    </row>
    <row r="68" customFormat="false" ht="15" hidden="false" customHeight="false" outlineLevel="0" collapsed="false">
      <c r="A68" s="1" t="n">
        <v>3068</v>
      </c>
      <c r="B68" s="7" t="n">
        <v>45924</v>
      </c>
      <c r="C68" s="1" t="n">
        <v>69</v>
      </c>
      <c r="D68" s="13" t="n">
        <f aca="false">_xlfn.XLOOKUP(Commits[[#This Row],[DeploymentID]],Deployments[DeploymentID],Deployments[Prod])-Commits[[#This Row],[DateCommit]]</f>
        <v>0</v>
      </c>
    </row>
    <row r="69" customFormat="false" ht="15" hidden="false" customHeight="false" outlineLevel="0" collapsed="false">
      <c r="A69" s="1" t="n">
        <v>3069</v>
      </c>
      <c r="B69" s="7" t="n">
        <v>45924</v>
      </c>
      <c r="C69" s="1" t="n">
        <v>70</v>
      </c>
      <c r="D69" s="13" t="n">
        <f aca="false">_xlfn.XLOOKUP(Commits[[#This Row],[DeploymentID]],Deployments[DeploymentID],Deployments[Prod])-Commits[[#This Row],[DateCommit]]</f>
        <v>0</v>
      </c>
    </row>
    <row r="70" customFormat="false" ht="15" hidden="false" customHeight="false" outlineLevel="0" collapsed="false">
      <c r="A70" s="1" t="n">
        <v>3070</v>
      </c>
      <c r="B70" s="7" t="n">
        <v>45925</v>
      </c>
      <c r="C70" s="1" t="n">
        <v>71</v>
      </c>
      <c r="D70" s="13" t="n">
        <f aca="false">_xlfn.XLOOKUP(Commits[[#This Row],[DeploymentID]],Deployments[DeploymentID],Deployments[Prod])-Commits[[#This Row],[DateCommit]]</f>
        <v>0</v>
      </c>
    </row>
    <row r="71" customFormat="false" ht="15" hidden="false" customHeight="false" outlineLevel="0" collapsed="false">
      <c r="A71" s="1" t="n">
        <v>3071</v>
      </c>
      <c r="B71" s="7" t="n">
        <v>45925</v>
      </c>
      <c r="C71" s="1" t="n">
        <v>72</v>
      </c>
      <c r="D71" s="13" t="n">
        <f aca="false">_xlfn.XLOOKUP(Commits[[#This Row],[DeploymentID]],Deployments[DeploymentID],Deployments[Prod])-Commits[[#This Row],[DateCommit]]</f>
        <v>0</v>
      </c>
    </row>
    <row r="72" customFormat="false" ht="15" hidden="false" customHeight="false" outlineLevel="0" collapsed="false">
      <c r="A72" s="1" t="n">
        <v>3072</v>
      </c>
      <c r="B72" s="7" t="n">
        <v>45925</v>
      </c>
      <c r="C72" s="1" t="n">
        <v>73</v>
      </c>
      <c r="D72" s="13" t="n">
        <f aca="false">_xlfn.XLOOKUP(Commits[[#This Row],[DeploymentID]],Deployments[DeploymentID],Deployments[Prod])-Commits[[#This Row],[DateCommit]]</f>
        <v>1</v>
      </c>
    </row>
    <row r="73" customFormat="false" ht="15" hidden="false" customHeight="false" outlineLevel="0" collapsed="false">
      <c r="A73" s="1" t="n">
        <v>3073</v>
      </c>
      <c r="B73" s="7" t="n">
        <v>45926</v>
      </c>
      <c r="C73" s="1" t="n">
        <v>74</v>
      </c>
      <c r="D73" s="13" t="n">
        <f aca="false">_xlfn.XLOOKUP(Commits[[#This Row],[DeploymentID]],Deployments[DeploymentID],Deployments[Prod])-Commits[[#This Row],[DateCommit]]</f>
        <v>0</v>
      </c>
    </row>
    <row r="74" customFormat="false" ht="15" hidden="false" customHeight="false" outlineLevel="0" collapsed="false">
      <c r="A74" s="1" t="n">
        <v>3074</v>
      </c>
      <c r="B74" s="7" t="n">
        <v>45926</v>
      </c>
      <c r="C74" s="1" t="n">
        <v>75</v>
      </c>
      <c r="D74" s="13" t="n">
        <f aca="false">_xlfn.XLOOKUP(Commits[[#This Row],[DeploymentID]],Deployments[DeploymentID],Deployments[Prod])-Commits[[#This Row],[DateCommit]]</f>
        <v>0</v>
      </c>
    </row>
    <row r="75" customFormat="false" ht="15" hidden="false" customHeight="false" outlineLevel="0" collapsed="false">
      <c r="A75" s="1" t="n">
        <v>3075</v>
      </c>
      <c r="B75" s="7" t="n">
        <v>45926</v>
      </c>
      <c r="C75" s="1" t="n">
        <v>76</v>
      </c>
      <c r="D75" s="13" t="n">
        <f aca="false">_xlfn.XLOOKUP(Commits[[#This Row],[DeploymentID]],Deployments[DeploymentID],Deployments[Prod])-Commits[[#This Row],[DateCommit]]</f>
        <v>1</v>
      </c>
    </row>
    <row r="76" customFormat="false" ht="15" hidden="false" customHeight="false" outlineLevel="0" collapsed="false">
      <c r="A76" s="1" t="n">
        <v>3076</v>
      </c>
      <c r="B76" s="7" t="n">
        <v>45926</v>
      </c>
      <c r="C76" s="1" t="n">
        <v>77</v>
      </c>
      <c r="D76" s="13" t="n">
        <f aca="false">_xlfn.XLOOKUP(Commits[[#This Row],[DeploymentID]],Deployments[DeploymentID],Deployments[Prod])-Commits[[#This Row],[DateCommit]]</f>
        <v>1</v>
      </c>
    </row>
    <row r="77" customFormat="false" ht="15" hidden="false" customHeight="false" outlineLevel="0" collapsed="false">
      <c r="A77" s="1" t="n">
        <v>3077</v>
      </c>
      <c r="B77" s="7" t="n">
        <v>45927</v>
      </c>
      <c r="C77" s="1" t="n">
        <v>78</v>
      </c>
      <c r="D77" s="13" t="n">
        <f aca="false">_xlfn.XLOOKUP(Commits[[#This Row],[DeploymentID]],Deployments[DeploymentID],Deployments[Prod])-Commits[[#This Row],[DateCommit]]</f>
        <v>0</v>
      </c>
    </row>
    <row r="78" customFormat="false" ht="15" hidden="false" customHeight="false" outlineLevel="0" collapsed="false">
      <c r="A78" s="1" t="n">
        <v>3078</v>
      </c>
      <c r="B78" s="7" t="n">
        <v>45927</v>
      </c>
      <c r="C78" s="1" t="n">
        <v>79</v>
      </c>
      <c r="D78" s="13" t="n">
        <f aca="false">_xlfn.XLOOKUP(Commits[[#This Row],[DeploymentID]],Deployments[DeploymentID],Deployments[Prod])-Commits[[#This Row],[DateCommit]]</f>
        <v>1</v>
      </c>
    </row>
    <row r="79" customFormat="false" ht="15" hidden="false" customHeight="false" outlineLevel="0" collapsed="false">
      <c r="A79" s="1" t="n">
        <v>3079</v>
      </c>
      <c r="B79" s="7" t="n">
        <v>45927</v>
      </c>
      <c r="C79" s="1" t="n">
        <v>80</v>
      </c>
      <c r="D79" s="13" t="n">
        <f aca="false">_xlfn.XLOOKUP(Commits[[#This Row],[DeploymentID]],Deployments[DeploymentID],Deployments[Prod])-Commits[[#This Row],[DateCommit]]</f>
        <v>1</v>
      </c>
    </row>
    <row r="80" customFormat="false" ht="15" hidden="false" customHeight="false" outlineLevel="0" collapsed="false">
      <c r="A80" s="1" t="n">
        <v>3080</v>
      </c>
      <c r="B80" s="7" t="n">
        <v>45928</v>
      </c>
      <c r="C80" s="1" t="n">
        <v>81</v>
      </c>
      <c r="D80" s="13" t="n">
        <f aca="false">_xlfn.XLOOKUP(Commits[[#This Row],[DeploymentID]],Deployments[DeploymentID],Deployments[Prod])-Commits[[#This Row],[DateCommit]]</f>
        <v>0</v>
      </c>
    </row>
    <row r="81" customFormat="false" ht="15" hidden="false" customHeight="false" outlineLevel="0" collapsed="false">
      <c r="A81" s="1" t="n">
        <v>3081</v>
      </c>
      <c r="B81" s="7" t="n">
        <v>45928</v>
      </c>
      <c r="C81" s="1" t="n">
        <v>82</v>
      </c>
      <c r="D81" s="13" t="n">
        <f aca="false">_xlfn.XLOOKUP(Commits[[#This Row],[DeploymentID]],Deployments[DeploymentID],Deployments[Prod])-Commits[[#This Row],[DateCommit]]</f>
        <v>1</v>
      </c>
    </row>
    <row r="82" customFormat="false" ht="15" hidden="false" customHeight="false" outlineLevel="0" collapsed="false">
      <c r="A82" s="1" t="n">
        <v>3082</v>
      </c>
      <c r="B82" s="7" t="n">
        <v>45929</v>
      </c>
      <c r="C82" s="1" t="n">
        <v>83</v>
      </c>
      <c r="D82" s="13" t="n">
        <f aca="false">_xlfn.XLOOKUP(Commits[[#This Row],[DeploymentID]],Deployments[DeploymentID],Deployments[Prod])-Commits[[#This Row],[DateCommit]]</f>
        <v>0</v>
      </c>
    </row>
    <row r="83" customFormat="false" ht="15" hidden="false" customHeight="false" outlineLevel="0" collapsed="false">
      <c r="A83" s="1" t="n">
        <v>3083</v>
      </c>
      <c r="B83" s="7" t="n">
        <v>45929</v>
      </c>
      <c r="C83" s="1" t="n">
        <v>84</v>
      </c>
      <c r="D83" s="13" t="n">
        <f aca="false">_xlfn.XLOOKUP(Commits[[#This Row],[DeploymentID]],Deployments[DeploymentID],Deployments[Prod])-Commits[[#This Row],[DateCommit]]</f>
        <v>0</v>
      </c>
    </row>
    <row r="84" customFormat="false" ht="15" hidden="false" customHeight="false" outlineLevel="0" collapsed="false">
      <c r="A84" s="1" t="n">
        <v>3084</v>
      </c>
      <c r="B84" s="7" t="n">
        <v>45929</v>
      </c>
      <c r="C84" s="1" t="n">
        <v>85</v>
      </c>
      <c r="D84" s="13" t="n">
        <f aca="false">_xlfn.XLOOKUP(Commits[[#This Row],[DeploymentID]],Deployments[DeploymentID],Deployments[Prod])-Commits[[#This Row],[DateCommit]]</f>
        <v>1</v>
      </c>
    </row>
    <row r="85" customFormat="false" ht="15" hidden="false" customHeight="false" outlineLevel="0" collapsed="false">
      <c r="A85" s="1" t="n">
        <v>3085</v>
      </c>
      <c r="B85" s="7" t="n">
        <v>45930</v>
      </c>
      <c r="C85" s="1" t="n">
        <v>86</v>
      </c>
      <c r="D85" s="13" t="n">
        <f aca="false">_xlfn.XLOOKUP(Commits[[#This Row],[DeploymentID]],Deployments[DeploymentID],Deployments[Prod])-Commits[[#This Row],[DateCommit]]</f>
        <v>0</v>
      </c>
    </row>
    <row r="86" customFormat="false" ht="15" hidden="false" customHeight="false" outlineLevel="0" collapsed="false">
      <c r="A86" s="1" t="n">
        <v>3086</v>
      </c>
      <c r="B86" s="7" t="n">
        <v>45930</v>
      </c>
      <c r="C86" s="1" t="n">
        <v>87</v>
      </c>
      <c r="D86" s="13" t="n">
        <f aca="false">_xlfn.XLOOKUP(Commits[[#This Row],[DeploymentID]],Deployments[DeploymentID],Deployments[Prod])-Commits[[#This Row],[DateCommit]]</f>
        <v>0</v>
      </c>
    </row>
    <row r="87" customFormat="false" ht="15" hidden="false" customHeight="false" outlineLevel="0" collapsed="false">
      <c r="A87" s="1" t="n">
        <v>3087</v>
      </c>
      <c r="B87" s="7" t="n">
        <v>45930</v>
      </c>
      <c r="C87" s="1" t="n">
        <v>88</v>
      </c>
      <c r="D87" s="13" t="n">
        <f aca="false">_xlfn.XLOOKUP(Commits[[#This Row],[DeploymentID]],Deployments[DeploymentID],Deployments[Prod])-Commits[[#This Row],[DateCommit]]</f>
        <v>0</v>
      </c>
    </row>
    <row r="88" customFormat="false" ht="15" hidden="false" customHeight="false" outlineLevel="0" collapsed="false">
      <c r="A88" s="1" t="n">
        <v>3088</v>
      </c>
      <c r="B88" s="7" t="n">
        <v>45930</v>
      </c>
      <c r="C88" s="1" t="n">
        <v>89</v>
      </c>
      <c r="D88" s="13" t="n">
        <f aca="false">_xlfn.XLOOKUP(Commits[[#This Row],[DeploymentID]],Deployments[DeploymentID],Deployments[Prod])-Commits[[#This Row],[DateCommit]]</f>
        <v>1</v>
      </c>
    </row>
    <row r="89" customFormat="false" ht="15" hidden="false" customHeight="false" outlineLevel="0" collapsed="false">
      <c r="A89" s="1" t="n">
        <v>3089</v>
      </c>
      <c r="B89" s="7" t="n">
        <v>45931</v>
      </c>
      <c r="C89" s="1" t="n">
        <v>90</v>
      </c>
      <c r="D89" s="13" t="n">
        <f aca="false">_xlfn.XLOOKUP(Commits[[#This Row],[DeploymentID]],Deployments[DeploymentID],Deployments[Prod])-Commits[[#This Row],[DateCommit]]</f>
        <v>0</v>
      </c>
    </row>
    <row r="90" customFormat="false" ht="15" hidden="false" customHeight="false" outlineLevel="0" collapsed="false">
      <c r="A90" s="1" t="n">
        <v>3090</v>
      </c>
      <c r="B90" s="7" t="n">
        <v>45931</v>
      </c>
      <c r="C90" s="1" t="n">
        <v>91</v>
      </c>
      <c r="D90" s="13" t="n">
        <f aca="false">_xlfn.XLOOKUP(Commits[[#This Row],[DeploymentID]],Deployments[DeploymentID],Deployments[Prod])-Commits[[#This Row],[DateCommit]]</f>
        <v>0</v>
      </c>
    </row>
    <row r="91" customFormat="false" ht="15" hidden="false" customHeight="false" outlineLevel="0" collapsed="false">
      <c r="A91" s="1" t="n">
        <v>3092</v>
      </c>
      <c r="B91" s="7" t="n">
        <v>45932</v>
      </c>
      <c r="C91" s="1" t="n">
        <v>93</v>
      </c>
      <c r="D91" s="13" t="n">
        <f aca="false">_xlfn.XLOOKUP(Commits[[#This Row],[DeploymentID]],Deployments[DeploymentID],Deployments[Prod])-Commits[[#This Row],[DateCommit]]</f>
        <v>0</v>
      </c>
    </row>
    <row r="92" customFormat="false" ht="15" hidden="false" customHeight="false" outlineLevel="0" collapsed="false">
      <c r="A92" s="1" t="n">
        <v>3093</v>
      </c>
      <c r="B92" s="7" t="n">
        <v>45932</v>
      </c>
      <c r="C92" s="1" t="n">
        <v>94</v>
      </c>
      <c r="D92" s="13" t="n">
        <f aca="false">_xlfn.XLOOKUP(Commits[[#This Row],[DeploymentID]],Deployments[DeploymentID],Deployments[Prod])-Commits[[#This Row],[DateCommit]]</f>
        <v>0</v>
      </c>
    </row>
    <row r="93" customFormat="false" ht="15" hidden="false" customHeight="false" outlineLevel="0" collapsed="false">
      <c r="A93" s="1" t="n">
        <v>3094</v>
      </c>
      <c r="B93" s="7" t="n">
        <v>45933</v>
      </c>
      <c r="C93" s="1" t="n">
        <v>95</v>
      </c>
      <c r="D93" s="13" t="n">
        <f aca="false">_xlfn.XLOOKUP(Commits[[#This Row],[DeploymentID]],Deployments[DeploymentID],Deployments[Prod])-Commits[[#This Row],[DateCommit]]</f>
        <v>0</v>
      </c>
    </row>
    <row r="94" customFormat="false" ht="15" hidden="false" customHeight="false" outlineLevel="0" collapsed="false">
      <c r="A94" s="1" t="n">
        <v>3095</v>
      </c>
      <c r="B94" s="7" t="n">
        <v>45933</v>
      </c>
      <c r="C94" s="1" t="n">
        <v>96</v>
      </c>
      <c r="D94" s="13" t="n">
        <f aca="false">_xlfn.XLOOKUP(Commits[[#This Row],[DeploymentID]],Deployments[DeploymentID],Deployments[Prod])-Commits[[#This Row],[DateCommit]]</f>
        <v>0</v>
      </c>
    </row>
    <row r="95" customFormat="false" ht="15" hidden="false" customHeight="false" outlineLevel="0" collapsed="false">
      <c r="A95" s="1" t="n">
        <v>3096</v>
      </c>
      <c r="B95" s="7" t="n">
        <v>45933</v>
      </c>
      <c r="C95" s="1" t="n">
        <v>97</v>
      </c>
      <c r="D95" s="13" t="n">
        <f aca="false">_xlfn.XLOOKUP(Commits[[#This Row],[DeploymentID]],Deployments[DeploymentID],Deployments[Prod])-Commits[[#This Row],[DateCommit]]</f>
        <v>1</v>
      </c>
    </row>
    <row r="96" customFormat="false" ht="15" hidden="false" customHeight="false" outlineLevel="0" collapsed="false">
      <c r="A96" s="1" t="n">
        <v>3097</v>
      </c>
      <c r="B96" s="7" t="n">
        <v>45933</v>
      </c>
      <c r="C96" s="1" t="n">
        <v>98</v>
      </c>
      <c r="D96" s="13" t="n">
        <f aca="false">_xlfn.XLOOKUP(Commits[[#This Row],[DeploymentID]],Deployments[DeploymentID],Deployments[Prod])-Commits[[#This Row],[DateCommit]]</f>
        <v>1</v>
      </c>
    </row>
    <row r="97" customFormat="false" ht="15" hidden="false" customHeight="false" outlineLevel="0" collapsed="false">
      <c r="A97" s="1" t="n">
        <v>3098</v>
      </c>
      <c r="B97" s="7" t="n">
        <v>45934</v>
      </c>
      <c r="C97" s="1" t="n">
        <v>99</v>
      </c>
      <c r="D97" s="13" t="n">
        <f aca="false">_xlfn.XLOOKUP(Commits[[#This Row],[DeploymentID]],Deployments[DeploymentID],Deployments[Prod])-Commits[[#This Row],[DateCommit]]</f>
        <v>0</v>
      </c>
    </row>
    <row r="98" customFormat="false" ht="15" hidden="false" customHeight="false" outlineLevel="0" collapsed="false">
      <c r="A98" s="1" t="n">
        <v>3099</v>
      </c>
      <c r="B98" s="7" t="n">
        <v>45934</v>
      </c>
      <c r="C98" s="1" t="n">
        <v>100</v>
      </c>
      <c r="D98" s="13" t="n">
        <f aca="false">_xlfn.XLOOKUP(Commits[[#This Row],[DeploymentID]],Deployments[DeploymentID],Deployments[Prod])-Commits[[#This Row],[DateCommit]]</f>
        <v>1</v>
      </c>
    </row>
    <row r="99" customFormat="false" ht="15" hidden="false" customHeight="false" outlineLevel="0" collapsed="false">
      <c r="A99" s="1" t="n">
        <v>3100</v>
      </c>
      <c r="B99" s="7" t="n">
        <v>45934</v>
      </c>
      <c r="C99" s="1" t="n">
        <v>101</v>
      </c>
      <c r="D99" s="13" t="n">
        <f aca="false">_xlfn.XLOOKUP(Commits[[#This Row],[DeploymentID]],Deployments[DeploymentID],Deployments[Prod])-Commits[[#This Row],[DateCommit]]</f>
        <v>1</v>
      </c>
    </row>
    <row r="100" customFormat="false" ht="15" hidden="false" customHeight="false" outlineLevel="0" collapsed="false">
      <c r="A100" s="1" t="n">
        <v>3101</v>
      </c>
      <c r="B100" s="7" t="n">
        <v>45934</v>
      </c>
      <c r="C100" s="1" t="n">
        <v>102</v>
      </c>
      <c r="D100" s="13" t="n">
        <f aca="false">_xlfn.XLOOKUP(Commits[[#This Row],[DeploymentID]],Deployments[DeploymentID],Deployments[Prod])-Commits[[#This Row],[DateCommit]]</f>
        <v>1</v>
      </c>
    </row>
    <row r="101" customFormat="false" ht="15" hidden="false" customHeight="false" outlineLevel="0" collapsed="false">
      <c r="A101" s="1" t="n">
        <v>3102</v>
      </c>
      <c r="B101" s="7" t="n">
        <v>45935</v>
      </c>
      <c r="C101" s="1" t="n">
        <v>103</v>
      </c>
      <c r="D101" s="13" t="n">
        <f aca="false">_xlfn.XLOOKUP(Commits[[#This Row],[DeploymentID]],Deployments[DeploymentID],Deployments[Prod])-Commits[[#This Row],[DateCommit]]</f>
        <v>1</v>
      </c>
    </row>
    <row r="102" customFormat="false" ht="15" hidden="false" customHeight="false" outlineLevel="0" collapsed="false">
      <c r="A102" s="1" t="n">
        <v>3103</v>
      </c>
      <c r="B102" s="7" t="n">
        <v>45936</v>
      </c>
      <c r="C102" s="1" t="n">
        <v>104</v>
      </c>
      <c r="D102" s="13" t="n">
        <f aca="false">_xlfn.XLOOKUP(Commits[[#This Row],[DeploymentID]],Deployments[DeploymentID],Deployments[Prod])-Commits[[#This Row],[DateCommit]]</f>
        <v>0</v>
      </c>
    </row>
    <row r="103" customFormat="false" ht="15" hidden="false" customHeight="false" outlineLevel="0" collapsed="false">
      <c r="A103" s="1" t="n">
        <v>3104</v>
      </c>
      <c r="B103" s="7" t="n">
        <v>45936</v>
      </c>
      <c r="C103" s="1" t="n">
        <v>105</v>
      </c>
      <c r="D103" s="13" t="n">
        <f aca="false">_xlfn.XLOOKUP(Commits[[#This Row],[DeploymentID]],Deployments[DeploymentID],Deployments[Prod])-Commits[[#This Row],[DateCommit]]</f>
        <v>0</v>
      </c>
    </row>
    <row r="104" customFormat="false" ht="15" hidden="false" customHeight="false" outlineLevel="0" collapsed="false">
      <c r="A104" s="1" t="n">
        <v>3105</v>
      </c>
      <c r="B104" s="7" t="n">
        <v>45936</v>
      </c>
      <c r="C104" s="1" t="n">
        <v>106</v>
      </c>
      <c r="D104" s="13" t="n">
        <f aca="false">_xlfn.XLOOKUP(Commits[[#This Row],[DeploymentID]],Deployments[DeploymentID],Deployments[Prod])-Commits[[#This Row],[DateCommit]]</f>
        <v>1</v>
      </c>
    </row>
    <row r="105" customFormat="false" ht="15" hidden="false" customHeight="false" outlineLevel="0" collapsed="false">
      <c r="A105" s="1" t="n">
        <v>3106</v>
      </c>
      <c r="B105" s="7" t="n">
        <v>45937</v>
      </c>
      <c r="C105" s="1" t="n">
        <v>107</v>
      </c>
      <c r="D105" s="13" t="n">
        <f aca="false">_xlfn.XLOOKUP(Commits[[#This Row],[DeploymentID]],Deployments[DeploymentID],Deployments[Prod])-Commits[[#This Row],[DateCommit]]</f>
        <v>0</v>
      </c>
    </row>
    <row r="106" customFormat="false" ht="15" hidden="false" customHeight="false" outlineLevel="0" collapsed="false">
      <c r="A106" s="1" t="n">
        <v>3107</v>
      </c>
      <c r="B106" s="7" t="n">
        <v>45937</v>
      </c>
      <c r="C106" s="1" t="n">
        <v>108</v>
      </c>
      <c r="D106" s="13" t="n">
        <f aca="false">_xlfn.XLOOKUP(Commits[[#This Row],[DeploymentID]],Deployments[DeploymentID],Deployments[Prod])-Commits[[#This Row],[DateCommit]]</f>
        <v>1</v>
      </c>
    </row>
    <row r="107" customFormat="false" ht="15" hidden="false" customHeight="false" outlineLevel="0" collapsed="false">
      <c r="A107" s="1" t="n">
        <v>3108</v>
      </c>
      <c r="B107" s="7" t="n">
        <v>45937</v>
      </c>
      <c r="C107" s="1" t="n">
        <v>109</v>
      </c>
      <c r="D107" s="13" t="n">
        <f aca="false">_xlfn.XLOOKUP(Commits[[#This Row],[DeploymentID]],Deployments[DeploymentID],Deployments[Prod])-Commits[[#This Row],[DateCommit]]</f>
        <v>1</v>
      </c>
    </row>
    <row r="108" customFormat="false" ht="15" hidden="false" customHeight="false" outlineLevel="0" collapsed="false">
      <c r="A108" s="1" t="n">
        <v>3109</v>
      </c>
      <c r="B108" s="7" t="n">
        <v>45938</v>
      </c>
      <c r="C108" s="1" t="n">
        <v>110</v>
      </c>
      <c r="D108" s="13" t="n">
        <f aca="false">_xlfn.XLOOKUP(Commits[[#This Row],[DeploymentID]],Deployments[DeploymentID],Deployments[Prod])-Commits[[#This Row],[DateCommit]]</f>
        <v>1</v>
      </c>
    </row>
    <row r="109" customFormat="false" ht="15" hidden="false" customHeight="false" outlineLevel="0" collapsed="false">
      <c r="A109" s="1" t="n">
        <v>3110</v>
      </c>
      <c r="B109" s="7" t="n">
        <v>45938</v>
      </c>
      <c r="C109" s="1" t="n">
        <v>111</v>
      </c>
      <c r="D109" s="13" t="n">
        <f aca="false">_xlfn.XLOOKUP(Commits[[#This Row],[DeploymentID]],Deployments[DeploymentID],Deployments[Prod])-Commits[[#This Row],[DateCommit]]</f>
        <v>1</v>
      </c>
    </row>
    <row r="110" customFormat="false" ht="15" hidden="false" customHeight="false" outlineLevel="0" collapsed="false">
      <c r="A110" s="1" t="n">
        <v>3111</v>
      </c>
      <c r="B110" s="7" t="n">
        <v>45939</v>
      </c>
      <c r="C110" s="1" t="n">
        <v>112</v>
      </c>
      <c r="D110" s="13" t="n">
        <f aca="false">_xlfn.XLOOKUP(Commits[[#This Row],[DeploymentID]],Deployments[DeploymentID],Deployments[Prod])-Commits[[#This Row],[DateCommit]]</f>
        <v>0</v>
      </c>
    </row>
    <row r="111" customFormat="false" ht="15" hidden="false" customHeight="false" outlineLevel="0" collapsed="false">
      <c r="A111" s="1" t="n">
        <v>3112</v>
      </c>
      <c r="B111" s="7" t="n">
        <v>45939</v>
      </c>
      <c r="C111" s="1" t="n">
        <v>113</v>
      </c>
      <c r="D111" s="13" t="n">
        <f aca="false">_xlfn.XLOOKUP(Commits[[#This Row],[DeploymentID]],Deployments[DeploymentID],Deployments[Prod])-Commits[[#This Row],[DateCommit]]</f>
        <v>0</v>
      </c>
    </row>
    <row r="112" customFormat="false" ht="15" hidden="false" customHeight="false" outlineLevel="0" collapsed="false">
      <c r="A112" s="1" t="n">
        <v>3113</v>
      </c>
      <c r="B112" s="7" t="n">
        <v>45939</v>
      </c>
      <c r="C112" s="1" t="n">
        <v>114</v>
      </c>
      <c r="D112" s="13" t="n">
        <f aca="false">_xlfn.XLOOKUP(Commits[[#This Row],[DeploymentID]],Deployments[DeploymentID],Deployments[Prod])-Commits[[#This Row],[DateCommit]]</f>
        <v>1</v>
      </c>
    </row>
    <row r="113" customFormat="false" ht="15" hidden="false" customHeight="false" outlineLevel="0" collapsed="false">
      <c r="A113" s="1" t="n">
        <v>3114</v>
      </c>
      <c r="B113" s="7" t="n">
        <v>45939</v>
      </c>
      <c r="C113" s="1" t="n">
        <v>115</v>
      </c>
      <c r="D113" s="13" t="n">
        <f aca="false">_xlfn.XLOOKUP(Commits[[#This Row],[DeploymentID]],Deployments[DeploymentID],Deployments[Prod])-Commits[[#This Row],[DateCommit]]</f>
        <v>1</v>
      </c>
    </row>
    <row r="114" customFormat="false" ht="15" hidden="false" customHeight="false" outlineLevel="0" collapsed="false">
      <c r="A114" s="1" t="n">
        <v>3115</v>
      </c>
      <c r="B114" s="7" t="n">
        <v>45940</v>
      </c>
      <c r="C114" s="1" t="n">
        <v>116</v>
      </c>
      <c r="D114" s="13" t="n">
        <f aca="false">_xlfn.XLOOKUP(Commits[[#This Row],[DeploymentID]],Deployments[DeploymentID],Deployments[Prod])-Commits[[#This Row],[DateCommit]]</f>
        <v>0</v>
      </c>
    </row>
    <row r="115" customFormat="false" ht="15" hidden="false" customHeight="false" outlineLevel="0" collapsed="false">
      <c r="A115" s="1" t="n">
        <v>3116</v>
      </c>
      <c r="B115" s="7" t="n">
        <v>45940</v>
      </c>
      <c r="C115" s="1" t="n">
        <v>117</v>
      </c>
      <c r="D115" s="13" t="n">
        <f aca="false">_xlfn.XLOOKUP(Commits[[#This Row],[DeploymentID]],Deployments[DeploymentID],Deployments[Prod])-Commits[[#This Row],[DateCommit]]</f>
        <v>1</v>
      </c>
    </row>
    <row r="116" customFormat="false" ht="15" hidden="false" customHeight="false" outlineLevel="0" collapsed="false">
      <c r="A116" s="1" t="n">
        <v>3118</v>
      </c>
      <c r="B116" s="7" t="n">
        <v>45941</v>
      </c>
      <c r="C116" s="1" t="n">
        <v>119</v>
      </c>
      <c r="D116" s="13" t="n">
        <f aca="false">_xlfn.XLOOKUP(Commits[[#This Row],[DeploymentID]],Deployments[DeploymentID],Deployments[Prod])-Commits[[#This Row],[DateCommit]]</f>
        <v>1</v>
      </c>
    </row>
    <row r="117" customFormat="false" ht="15" hidden="false" customHeight="false" outlineLevel="0" collapsed="false">
      <c r="A117" s="1" t="n">
        <v>3119</v>
      </c>
      <c r="B117" s="7" t="n">
        <v>45941</v>
      </c>
      <c r="C117" s="1" t="n">
        <v>120</v>
      </c>
      <c r="D117" s="13" t="n">
        <f aca="false">_xlfn.XLOOKUP(Commits[[#This Row],[DeploymentID]],Deployments[DeploymentID],Deployments[Prod])-Commits[[#This Row],[DateCommit]]</f>
        <v>1</v>
      </c>
    </row>
    <row r="118" customFormat="false" ht="15" hidden="false" customHeight="false" outlineLevel="0" collapsed="false">
      <c r="A118" s="1" t="n">
        <v>3120</v>
      </c>
      <c r="B118" s="7" t="n">
        <v>45942</v>
      </c>
      <c r="C118" s="1" t="n">
        <v>121</v>
      </c>
      <c r="D118" s="13" t="n">
        <f aca="false">_xlfn.XLOOKUP(Commits[[#This Row],[DeploymentID]],Deployments[DeploymentID],Deployments[Prod])-Commits[[#This Row],[DateCommit]]</f>
        <v>1</v>
      </c>
    </row>
    <row r="119" customFormat="false" ht="15" hidden="false" customHeight="false" outlineLevel="0" collapsed="false">
      <c r="A119" s="1" t="n">
        <v>3121</v>
      </c>
      <c r="B119" s="7" t="n">
        <v>45943</v>
      </c>
      <c r="C119" s="1" t="n">
        <v>122</v>
      </c>
      <c r="D119" s="13" t="n">
        <f aca="false">_xlfn.XLOOKUP(Commits[[#This Row],[DeploymentID]],Deployments[DeploymentID],Deployments[Prod])-Commits[[#This Row],[DateCommit]]</f>
        <v>0</v>
      </c>
    </row>
    <row r="120" customFormat="false" ht="15" hidden="false" customHeight="false" outlineLevel="0" collapsed="false">
      <c r="A120" s="1" t="n">
        <v>3122</v>
      </c>
      <c r="B120" s="7" t="n">
        <v>45943</v>
      </c>
      <c r="C120" s="1" t="n">
        <v>123</v>
      </c>
      <c r="D120" s="13" t="n">
        <f aca="false">_xlfn.XLOOKUP(Commits[[#This Row],[DeploymentID]],Deployments[DeploymentID],Deployments[Prod])-Commits[[#This Row],[DateCommit]]</f>
        <v>0</v>
      </c>
    </row>
    <row r="121" customFormat="false" ht="15" hidden="false" customHeight="false" outlineLevel="0" collapsed="false">
      <c r="A121" s="1" t="n">
        <v>3124</v>
      </c>
      <c r="B121" s="7" t="n">
        <v>45943</v>
      </c>
      <c r="C121" s="1" t="n">
        <v>125</v>
      </c>
      <c r="D121" s="13" t="n">
        <f aca="false">_xlfn.XLOOKUP(Commits[[#This Row],[DeploymentID]],Deployments[DeploymentID],Deployments[Prod])-Commits[[#This Row],[DateCommit]]</f>
        <v>1</v>
      </c>
    </row>
    <row r="122" customFormat="false" ht="15" hidden="false" customHeight="false" outlineLevel="0" collapsed="false">
      <c r="A122" s="1" t="n">
        <v>3123</v>
      </c>
      <c r="B122" s="7" t="n">
        <v>45944</v>
      </c>
      <c r="C122" s="1" t="n">
        <v>124</v>
      </c>
      <c r="D122" s="13" t="n">
        <f aca="false">_xlfn.XLOOKUP(Commits[[#This Row],[DeploymentID]],Deployments[DeploymentID],Deployments[Prod])-Commits[[#This Row],[DateCommit]]</f>
        <v>0</v>
      </c>
    </row>
    <row r="123" customFormat="false" ht="15" hidden="false" customHeight="false" outlineLevel="0" collapsed="false">
      <c r="A123" s="1" t="n">
        <v>3125</v>
      </c>
      <c r="B123" s="7" t="n">
        <v>45944</v>
      </c>
      <c r="C123" s="1" t="n">
        <v>126</v>
      </c>
      <c r="D123" s="13" t="n">
        <f aca="false">_xlfn.XLOOKUP(Commits[[#This Row],[DeploymentID]],Deployments[DeploymentID],Deployments[Prod])-Commits[[#This Row],[DateCommit]]</f>
        <v>0</v>
      </c>
    </row>
    <row r="124" customFormat="false" ht="15" hidden="false" customHeight="false" outlineLevel="0" collapsed="false">
      <c r="A124" s="1" t="n">
        <v>3126</v>
      </c>
      <c r="B124" s="7" t="n">
        <v>45944</v>
      </c>
      <c r="C124" s="1" t="n">
        <v>127</v>
      </c>
      <c r="D124" s="13" t="n">
        <f aca="false">_xlfn.XLOOKUP(Commits[[#This Row],[DeploymentID]],Deployments[DeploymentID],Deployments[Prod])-Commits[[#This Row],[DateCommit]]</f>
        <v>1</v>
      </c>
    </row>
    <row r="125" customFormat="false" ht="15" hidden="false" customHeight="false" outlineLevel="0" collapsed="false">
      <c r="A125" s="1" t="n">
        <v>3127</v>
      </c>
      <c r="B125" s="7" t="n">
        <v>45945</v>
      </c>
      <c r="C125" s="1" t="n">
        <v>128</v>
      </c>
      <c r="D125" s="13" t="n">
        <f aca="false">_xlfn.XLOOKUP(Commits[[#This Row],[DeploymentID]],Deployments[DeploymentID],Deployments[Prod])-Commits[[#This Row],[DateCommit]]</f>
        <v>0</v>
      </c>
    </row>
    <row r="126" customFormat="false" ht="15" hidden="false" customHeight="false" outlineLevel="0" collapsed="false">
      <c r="A126" s="1" t="n">
        <v>3128</v>
      </c>
      <c r="B126" s="7" t="n">
        <v>45945</v>
      </c>
      <c r="C126" s="1" t="n">
        <v>129</v>
      </c>
      <c r="D126" s="13" t="n">
        <f aca="false">_xlfn.XLOOKUP(Commits[[#This Row],[DeploymentID]],Deployments[DeploymentID],Deployments[Prod])-Commits[[#This Row],[DateCommit]]</f>
        <v>1</v>
      </c>
    </row>
    <row r="127" customFormat="false" ht="15" hidden="false" customHeight="false" outlineLevel="0" collapsed="false">
      <c r="A127" s="1" t="n">
        <v>3129</v>
      </c>
      <c r="B127" s="7" t="n">
        <v>45946</v>
      </c>
      <c r="C127" s="1" t="n">
        <v>130</v>
      </c>
      <c r="D127" s="13" t="n">
        <f aca="false">_xlfn.XLOOKUP(Commits[[#This Row],[DeploymentID]],Deployments[DeploymentID],Deployments[Prod])-Commits[[#This Row],[DateCommit]]</f>
        <v>0</v>
      </c>
    </row>
    <row r="128" customFormat="false" ht="15" hidden="false" customHeight="false" outlineLevel="0" collapsed="false">
      <c r="A128" s="1" t="n">
        <v>3130</v>
      </c>
      <c r="B128" s="7" t="n">
        <v>45946</v>
      </c>
      <c r="C128" s="1" t="n">
        <v>131</v>
      </c>
      <c r="D128" s="13" t="n">
        <f aca="false">_xlfn.XLOOKUP(Commits[[#This Row],[DeploymentID]],Deployments[DeploymentID],Deployments[Prod])-Commits[[#This Row],[DateCommit]]</f>
        <v>0</v>
      </c>
    </row>
    <row r="129" customFormat="false" ht="15" hidden="false" customHeight="false" outlineLevel="0" collapsed="false">
      <c r="A129" s="1" t="n">
        <v>3131</v>
      </c>
      <c r="B129" s="7" t="n">
        <v>45946</v>
      </c>
      <c r="C129" s="1" t="n">
        <v>132</v>
      </c>
      <c r="D129" s="13" t="n">
        <f aca="false">_xlfn.XLOOKUP(Commits[[#This Row],[DeploymentID]],Deployments[DeploymentID],Deployments[Prod])-Commits[[#This Row],[DateCommit]]</f>
        <v>0</v>
      </c>
    </row>
    <row r="130" customFormat="false" ht="15" hidden="false" customHeight="false" outlineLevel="0" collapsed="false">
      <c r="A130" s="1" t="n">
        <v>3132</v>
      </c>
      <c r="B130" s="7" t="n">
        <v>45946</v>
      </c>
      <c r="C130" s="1" t="n">
        <v>133</v>
      </c>
      <c r="D130" s="13" t="n">
        <f aca="false">_xlfn.XLOOKUP(Commits[[#This Row],[DeploymentID]],Deployments[DeploymentID],Deployments[Prod])-Commits[[#This Row],[DateCommit]]</f>
        <v>1</v>
      </c>
    </row>
    <row r="131" customFormat="false" ht="15" hidden="false" customHeight="false" outlineLevel="0" collapsed="false">
      <c r="A131" s="1" t="n">
        <v>3133</v>
      </c>
      <c r="B131" s="7" t="n">
        <v>45947</v>
      </c>
      <c r="C131" s="1" t="n">
        <v>134</v>
      </c>
      <c r="D131" s="13" t="n">
        <f aca="false">_xlfn.XLOOKUP(Commits[[#This Row],[DeploymentID]],Deployments[DeploymentID],Deployments[Prod])-Commits[[#This Row],[DateCommit]]</f>
        <v>0</v>
      </c>
    </row>
    <row r="132" customFormat="false" ht="15" hidden="false" customHeight="false" outlineLevel="0" collapsed="false">
      <c r="A132" s="1" t="n">
        <v>3134</v>
      </c>
      <c r="B132" s="7" t="n">
        <v>45947</v>
      </c>
      <c r="C132" s="1" t="n">
        <v>135</v>
      </c>
      <c r="D132" s="13" t="n">
        <f aca="false">_xlfn.XLOOKUP(Commits[[#This Row],[DeploymentID]],Deployments[DeploymentID],Deployments[Prod])-Commits[[#This Row],[DateCommit]]</f>
        <v>0</v>
      </c>
    </row>
    <row r="133" customFormat="false" ht="15" hidden="false" customHeight="false" outlineLevel="0" collapsed="false">
      <c r="A133" s="1" t="n">
        <v>3135</v>
      </c>
      <c r="B133" s="7" t="n">
        <v>45947</v>
      </c>
      <c r="C133" s="1" t="n">
        <v>136</v>
      </c>
      <c r="D133" s="13" t="n">
        <f aca="false">_xlfn.XLOOKUP(Commits[[#This Row],[DeploymentID]],Deployments[DeploymentID],Deployments[Prod])-Commits[[#This Row],[DateCommit]]</f>
        <v>1</v>
      </c>
    </row>
    <row r="134" customFormat="false" ht="15" hidden="false" customHeight="false" outlineLevel="0" collapsed="false">
      <c r="A134" s="1" t="n">
        <v>3136</v>
      </c>
      <c r="B134" s="7" t="n">
        <v>45947</v>
      </c>
      <c r="C134" s="1" t="n">
        <v>137</v>
      </c>
      <c r="D134" s="13" t="n">
        <f aca="false">_xlfn.XLOOKUP(Commits[[#This Row],[DeploymentID]],Deployments[DeploymentID],Deployments[Prod])-Commits[[#This Row],[DateCommit]]</f>
        <v>1</v>
      </c>
    </row>
    <row r="135" customFormat="false" ht="15" hidden="false" customHeight="false" outlineLevel="0" collapsed="false">
      <c r="A135" s="1" t="n">
        <v>3137</v>
      </c>
      <c r="B135" s="7" t="n">
        <v>45948</v>
      </c>
      <c r="C135" s="1" t="n">
        <v>138</v>
      </c>
      <c r="D135" s="13" t="n">
        <f aca="false">_xlfn.XLOOKUP(Commits[[#This Row],[DeploymentID]],Deployments[DeploymentID],Deployments[Prod])-Commits[[#This Row],[DateCommit]]</f>
        <v>0</v>
      </c>
    </row>
    <row r="136" customFormat="false" ht="15" hidden="false" customHeight="false" outlineLevel="0" collapsed="false">
      <c r="A136" s="1" t="n">
        <v>3138</v>
      </c>
      <c r="B136" s="7" t="n">
        <v>45948</v>
      </c>
      <c r="C136" s="1" t="n">
        <v>139</v>
      </c>
      <c r="D136" s="13" t="n">
        <f aca="false">_xlfn.XLOOKUP(Commits[[#This Row],[DeploymentID]],Deployments[DeploymentID],Deployments[Prod])-Commits[[#This Row],[DateCommit]]</f>
        <v>1</v>
      </c>
    </row>
    <row r="137" customFormat="false" ht="15" hidden="false" customHeight="false" outlineLevel="0" collapsed="false">
      <c r="A137" s="1" t="n">
        <v>3139</v>
      </c>
      <c r="B137" s="7" t="n">
        <v>45949</v>
      </c>
      <c r="C137" s="1" t="n">
        <v>140</v>
      </c>
      <c r="D137" s="13" t="n">
        <f aca="false">_xlfn.XLOOKUP(Commits[[#This Row],[DeploymentID]],Deployments[DeploymentID],Deployments[Prod])-Commits[[#This Row],[DateCommit]]</f>
        <v>0</v>
      </c>
    </row>
    <row r="138" customFormat="false" ht="15" hidden="false" customHeight="false" outlineLevel="0" collapsed="false">
      <c r="A138" s="1" t="n">
        <v>3140</v>
      </c>
      <c r="B138" s="7" t="n">
        <v>45949</v>
      </c>
      <c r="C138" s="1" t="n">
        <v>141</v>
      </c>
      <c r="D138" s="13" t="n">
        <f aca="false">_xlfn.XLOOKUP(Commits[[#This Row],[DeploymentID]],Deployments[DeploymentID],Deployments[Prod])-Commits[[#This Row],[DateCommit]]</f>
        <v>0</v>
      </c>
    </row>
    <row r="139" customFormat="false" ht="15" hidden="false" customHeight="false" outlineLevel="0" collapsed="false">
      <c r="A139" s="1" t="n">
        <v>3141</v>
      </c>
      <c r="B139" s="7" t="n">
        <v>45949</v>
      </c>
      <c r="C139" s="1" t="n">
        <v>142</v>
      </c>
      <c r="D139" s="13" t="n">
        <f aca="false">_xlfn.XLOOKUP(Commits[[#This Row],[DeploymentID]],Deployments[DeploymentID],Deployments[Prod])-Commits[[#This Row],[DateCommit]]</f>
        <v>0</v>
      </c>
    </row>
    <row r="140" customFormat="false" ht="15" hidden="false" customHeight="false" outlineLevel="0" collapsed="false">
      <c r="A140" s="1" t="n">
        <v>3142</v>
      </c>
      <c r="B140" s="7" t="n">
        <v>45949</v>
      </c>
      <c r="C140" s="1" t="n">
        <v>143</v>
      </c>
      <c r="D140" s="13" t="n">
        <f aca="false">_xlfn.XLOOKUP(Commits[[#This Row],[DeploymentID]],Deployments[DeploymentID],Deployments[Prod])-Commits[[#This Row],[DateCommit]]</f>
        <v>1</v>
      </c>
    </row>
    <row r="141" customFormat="false" ht="15" hidden="false" customHeight="false" outlineLevel="0" collapsed="false">
      <c r="A141" s="1" t="n">
        <v>3143</v>
      </c>
      <c r="B141" s="7" t="n">
        <v>45949</v>
      </c>
      <c r="C141" s="1" t="n">
        <v>144</v>
      </c>
      <c r="D141" s="13" t="n">
        <f aca="false">_xlfn.XLOOKUP(Commits[[#This Row],[DeploymentID]],Deployments[DeploymentID],Deployments[Prod])-Commits[[#This Row],[DateCommit]]</f>
        <v>1</v>
      </c>
    </row>
    <row r="142" customFormat="false" ht="15" hidden="false" customHeight="false" outlineLevel="0" collapsed="false">
      <c r="A142" s="1" t="n">
        <v>3144</v>
      </c>
      <c r="B142" s="7" t="n">
        <v>45950</v>
      </c>
      <c r="C142" s="1" t="n">
        <v>145</v>
      </c>
      <c r="D142" s="13" t="n">
        <f aca="false">_xlfn.XLOOKUP(Commits[[#This Row],[DeploymentID]],Deployments[DeploymentID],Deployments[Prod])-Commits[[#This Row],[DateCommit]]</f>
        <v>1</v>
      </c>
    </row>
    <row r="143" customFormat="false" ht="15" hidden="false" customHeight="false" outlineLevel="0" collapsed="false">
      <c r="A143" s="1" t="n">
        <v>3145</v>
      </c>
      <c r="B143" s="7" t="n">
        <v>45950</v>
      </c>
      <c r="C143" s="1" t="n">
        <v>146</v>
      </c>
      <c r="D143" s="13" t="n">
        <f aca="false">_xlfn.XLOOKUP(Commits[[#This Row],[DeploymentID]],Deployments[DeploymentID],Deployments[Prod])-Commits[[#This Row],[DateCommit]]</f>
        <v>1</v>
      </c>
    </row>
    <row r="144" customFormat="false" ht="15" hidden="false" customHeight="false" outlineLevel="0" collapsed="false">
      <c r="A144" s="1" t="n">
        <v>3146</v>
      </c>
      <c r="B144" s="7" t="n">
        <v>45951</v>
      </c>
      <c r="C144" s="1" t="n">
        <v>147</v>
      </c>
      <c r="D144" s="13" t="n">
        <f aca="false">_xlfn.XLOOKUP(Commits[[#This Row],[DeploymentID]],Deployments[DeploymentID],Deployments[Prod])-Commits[[#This Row],[DateCommit]]</f>
        <v>0</v>
      </c>
    </row>
    <row r="145" customFormat="false" ht="15" hidden="false" customHeight="false" outlineLevel="0" collapsed="false">
      <c r="A145" s="1" t="n">
        <v>3147</v>
      </c>
      <c r="B145" s="7" t="n">
        <v>45952</v>
      </c>
      <c r="C145" s="1" t="n">
        <v>148</v>
      </c>
      <c r="D145" s="13" t="n">
        <f aca="false">_xlfn.XLOOKUP(Commits[[#This Row],[DeploymentID]],Deployments[DeploymentID],Deployments[Prod])-Commits[[#This Row],[DateCommit]]</f>
        <v>0</v>
      </c>
    </row>
    <row r="146" customFormat="false" ht="15" hidden="false" customHeight="false" outlineLevel="0" collapsed="false">
      <c r="A146" s="1" t="n">
        <v>3148</v>
      </c>
      <c r="B146" s="7" t="n">
        <v>45952</v>
      </c>
      <c r="C146" s="1" t="n">
        <v>149</v>
      </c>
      <c r="D146" s="13" t="n">
        <f aca="false">_xlfn.XLOOKUP(Commits[[#This Row],[DeploymentID]],Deployments[DeploymentID],Deployments[Prod])-Commits[[#This Row],[DateCommit]]</f>
        <v>0</v>
      </c>
    </row>
    <row r="147" customFormat="false" ht="15" hidden="false" customHeight="false" outlineLevel="0" collapsed="false">
      <c r="A147" s="1" t="n">
        <v>3149</v>
      </c>
      <c r="B147" s="7" t="n">
        <v>45952</v>
      </c>
      <c r="C147" s="1" t="n">
        <v>150</v>
      </c>
      <c r="D147" s="13" t="n">
        <f aca="false">_xlfn.XLOOKUP(Commits[[#This Row],[DeploymentID]],Deployments[DeploymentID],Deployments[Prod])-Commits[[#This Row],[DateCommit]]</f>
        <v>0</v>
      </c>
    </row>
    <row r="148" customFormat="false" ht="15" hidden="false" customHeight="false" outlineLevel="0" collapsed="false">
      <c r="A148" s="1" t="n">
        <v>3150</v>
      </c>
      <c r="B148" s="7" t="n">
        <v>45953</v>
      </c>
      <c r="C148" s="1" t="n">
        <v>151</v>
      </c>
      <c r="D148" s="13" t="n">
        <f aca="false">_xlfn.XLOOKUP(Commits[[#This Row],[DeploymentID]],Deployments[DeploymentID],Deployments[Prod])-Commits[[#This Row],[DateCommit]]</f>
        <v>0</v>
      </c>
    </row>
    <row r="149" customFormat="false" ht="15" hidden="false" customHeight="false" outlineLevel="0" collapsed="false">
      <c r="A149" s="1" t="n">
        <v>3151</v>
      </c>
      <c r="B149" s="7" t="n">
        <v>45953</v>
      </c>
      <c r="C149" s="1" t="n">
        <v>152</v>
      </c>
      <c r="D149" s="13" t="n">
        <f aca="false">_xlfn.XLOOKUP(Commits[[#This Row],[DeploymentID]],Deployments[DeploymentID],Deployments[Prod])-Commits[[#This Row],[DateCommit]]</f>
        <v>0</v>
      </c>
    </row>
    <row r="150" customFormat="false" ht="15" hidden="false" customHeight="false" outlineLevel="0" collapsed="false">
      <c r="A150" s="1" t="n">
        <v>3152</v>
      </c>
      <c r="B150" s="7" t="n">
        <v>45953</v>
      </c>
      <c r="C150" s="1" t="n">
        <v>153</v>
      </c>
      <c r="D150" s="13" t="n">
        <f aca="false">_xlfn.XLOOKUP(Commits[[#This Row],[DeploymentID]],Deployments[DeploymentID],Deployments[Prod])-Commits[[#This Row],[DateCommit]]</f>
        <v>1</v>
      </c>
    </row>
    <row r="151" customFormat="false" ht="15" hidden="false" customHeight="false" outlineLevel="0" collapsed="false">
      <c r="A151" s="1" t="n">
        <v>3153</v>
      </c>
      <c r="B151" s="7" t="n">
        <v>45954</v>
      </c>
      <c r="C151" s="1" t="n">
        <v>154</v>
      </c>
      <c r="D151" s="13" t="n">
        <f aca="false">_xlfn.XLOOKUP(Commits[[#This Row],[DeploymentID]],Deployments[DeploymentID],Deployments[Prod])-Commits[[#This Row],[DateCommit]]</f>
        <v>0</v>
      </c>
    </row>
    <row r="152" customFormat="false" ht="15" hidden="false" customHeight="false" outlineLevel="0" collapsed="false">
      <c r="A152" s="1" t="n">
        <v>3154</v>
      </c>
      <c r="B152" s="7" t="n">
        <v>45954</v>
      </c>
      <c r="C152" s="1" t="n">
        <v>155</v>
      </c>
      <c r="D152" s="13" t="n">
        <f aca="false">_xlfn.XLOOKUP(Commits[[#This Row],[DeploymentID]],Deployments[DeploymentID],Deployments[Prod])-Commits[[#This Row],[DateCommit]]</f>
        <v>0</v>
      </c>
    </row>
    <row r="153" customFormat="false" ht="15" hidden="false" customHeight="false" outlineLevel="0" collapsed="false">
      <c r="A153" s="1" t="n">
        <v>3155</v>
      </c>
      <c r="B153" s="7" t="n">
        <v>45954</v>
      </c>
      <c r="C153" s="1" t="n">
        <v>156</v>
      </c>
      <c r="D153" s="13" t="n">
        <f aca="false">_xlfn.XLOOKUP(Commits[[#This Row],[DeploymentID]],Deployments[DeploymentID],Deployments[Prod])-Commits[[#This Row],[DateCommit]]</f>
        <v>1</v>
      </c>
    </row>
    <row r="154" customFormat="false" ht="15" hidden="false" customHeight="false" outlineLevel="0" collapsed="false">
      <c r="A154" s="1" t="n">
        <v>3156</v>
      </c>
      <c r="B154" s="7" t="n">
        <v>45955</v>
      </c>
      <c r="C154" s="1" t="n">
        <v>157</v>
      </c>
      <c r="D154" s="13" t="n">
        <f aca="false">_xlfn.XLOOKUP(Commits[[#This Row],[DeploymentID]],Deployments[DeploymentID],Deployments[Prod])-Commits[[#This Row],[DateCommit]]</f>
        <v>0</v>
      </c>
    </row>
    <row r="155" customFormat="false" ht="15" hidden="false" customHeight="false" outlineLevel="0" collapsed="false">
      <c r="A155" s="1" t="n">
        <v>3157</v>
      </c>
      <c r="B155" s="7" t="n">
        <v>45955</v>
      </c>
      <c r="C155" s="1" t="n">
        <v>158</v>
      </c>
      <c r="D155" s="13" t="n">
        <f aca="false">_xlfn.XLOOKUP(Commits[[#This Row],[DeploymentID]],Deployments[DeploymentID],Deployments[Prod])-Commits[[#This Row],[DateCommit]]</f>
        <v>0</v>
      </c>
    </row>
    <row r="156" customFormat="false" ht="15" hidden="false" customHeight="false" outlineLevel="0" collapsed="false">
      <c r="A156" s="1" t="n">
        <v>3158</v>
      </c>
      <c r="B156" s="7" t="n">
        <v>45955</v>
      </c>
      <c r="C156" s="1" t="n">
        <v>159</v>
      </c>
      <c r="D156" s="13" t="n">
        <f aca="false">_xlfn.XLOOKUP(Commits[[#This Row],[DeploymentID]],Deployments[DeploymentID],Deployments[Prod])-Commits[[#This Row],[DateCommit]]</f>
        <v>1</v>
      </c>
    </row>
    <row r="157" customFormat="false" ht="15" hidden="false" customHeight="false" outlineLevel="0" collapsed="false">
      <c r="A157" s="1" t="n">
        <v>3159</v>
      </c>
      <c r="B157" s="7" t="n">
        <v>45956</v>
      </c>
      <c r="C157" s="1" t="n">
        <v>160</v>
      </c>
      <c r="D157" s="13" t="n">
        <f aca="false">_xlfn.XLOOKUP(Commits[[#This Row],[DeploymentID]],Deployments[DeploymentID],Deployments[Prod])-Commits[[#This Row],[DateCommit]]</f>
        <v>0</v>
      </c>
    </row>
    <row r="158" customFormat="false" ht="15" hidden="false" customHeight="false" outlineLevel="0" collapsed="false">
      <c r="A158" s="1" t="n">
        <v>3160</v>
      </c>
      <c r="B158" s="7" t="n">
        <v>45956</v>
      </c>
      <c r="C158" s="1" t="n">
        <v>161</v>
      </c>
      <c r="D158" s="13" t="n">
        <f aca="false">_xlfn.XLOOKUP(Commits[[#This Row],[DeploymentID]],Deployments[DeploymentID],Deployments[Prod])-Commits[[#This Row],[DateCommit]]</f>
        <v>0</v>
      </c>
    </row>
    <row r="159" customFormat="false" ht="15" hidden="false" customHeight="false" outlineLevel="0" collapsed="false">
      <c r="A159" s="1" t="n">
        <v>3161</v>
      </c>
      <c r="B159" s="7" t="n">
        <v>45957</v>
      </c>
      <c r="C159" s="1" t="n">
        <v>162</v>
      </c>
      <c r="D159" s="13" t="n">
        <f aca="false">_xlfn.XLOOKUP(Commits[[#This Row],[DeploymentID]],Deployments[DeploymentID],Deployments[Prod])-Commits[[#This Row],[DateCommit]]</f>
        <v>0</v>
      </c>
    </row>
    <row r="160" customFormat="false" ht="15" hidden="false" customHeight="false" outlineLevel="0" collapsed="false">
      <c r="A160" s="1" t="n">
        <v>3162</v>
      </c>
      <c r="B160" s="7" t="n">
        <v>45957</v>
      </c>
      <c r="C160" s="1" t="n">
        <v>163</v>
      </c>
      <c r="D160" s="13" t="n">
        <f aca="false">_xlfn.XLOOKUP(Commits[[#This Row],[DeploymentID]],Deployments[DeploymentID],Deployments[Prod])-Commits[[#This Row],[DateCommit]]</f>
        <v>0</v>
      </c>
    </row>
    <row r="161" customFormat="false" ht="15" hidden="false" customHeight="false" outlineLevel="0" collapsed="false">
      <c r="A161" s="1" t="n">
        <v>3163</v>
      </c>
      <c r="B161" s="7" t="n">
        <v>45957</v>
      </c>
      <c r="C161" s="1" t="n">
        <v>164</v>
      </c>
      <c r="D161" s="13" t="n">
        <f aca="false">_xlfn.XLOOKUP(Commits[[#This Row],[DeploymentID]],Deployments[DeploymentID],Deployments[Prod])-Commits[[#This Row],[DateCommit]]</f>
        <v>1</v>
      </c>
    </row>
    <row r="162" customFormat="false" ht="15" hidden="false" customHeight="false" outlineLevel="0" collapsed="false">
      <c r="A162" s="1" t="n">
        <v>3164</v>
      </c>
      <c r="B162" s="7" t="n">
        <v>45958</v>
      </c>
      <c r="C162" s="1" t="n">
        <v>165</v>
      </c>
      <c r="D162" s="13" t="n">
        <f aca="false">_xlfn.XLOOKUP(Commits[[#This Row],[DeploymentID]],Deployments[DeploymentID],Deployments[Prod])-Commits[[#This Row],[DateCommit]]</f>
        <v>0</v>
      </c>
    </row>
    <row r="163" customFormat="false" ht="15" hidden="false" customHeight="false" outlineLevel="0" collapsed="false">
      <c r="A163" s="1" t="n">
        <v>3165</v>
      </c>
      <c r="B163" s="7" t="n">
        <v>45958</v>
      </c>
      <c r="C163" s="1" t="n">
        <v>166</v>
      </c>
      <c r="D163" s="13" t="n">
        <f aca="false">_xlfn.XLOOKUP(Commits[[#This Row],[DeploymentID]],Deployments[DeploymentID],Deployments[Prod])-Commits[[#This Row],[DateCommit]]</f>
        <v>0</v>
      </c>
    </row>
    <row r="164" customFormat="false" ht="15" hidden="false" customHeight="false" outlineLevel="0" collapsed="false">
      <c r="A164" s="1" t="n">
        <v>3166</v>
      </c>
      <c r="B164" s="7" t="n">
        <v>45958</v>
      </c>
      <c r="C164" s="1" t="n">
        <v>167</v>
      </c>
      <c r="D164" s="13" t="n">
        <f aca="false">_xlfn.XLOOKUP(Commits[[#This Row],[DeploymentID]],Deployments[DeploymentID],Deployments[Prod])-Commits[[#This Row],[DateCommit]]</f>
        <v>1</v>
      </c>
    </row>
    <row r="165" customFormat="false" ht="15" hidden="false" customHeight="false" outlineLevel="0" collapsed="false">
      <c r="A165" s="1" t="n">
        <v>3167</v>
      </c>
      <c r="B165" s="7" t="n">
        <v>45958</v>
      </c>
      <c r="C165" s="1" t="n">
        <v>168</v>
      </c>
      <c r="D165" s="13" t="n">
        <f aca="false">_xlfn.XLOOKUP(Commits[[#This Row],[DeploymentID]],Deployments[DeploymentID],Deployments[Prod])-Commits[[#This Row],[DateCommit]]</f>
        <v>1</v>
      </c>
    </row>
    <row r="166" customFormat="false" ht="15" hidden="false" customHeight="false" outlineLevel="0" collapsed="false">
      <c r="A166" s="1" t="n">
        <v>3168</v>
      </c>
      <c r="B166" s="7" t="n">
        <v>45959</v>
      </c>
      <c r="C166" s="1" t="n">
        <v>169</v>
      </c>
      <c r="D166" s="13" t="n">
        <f aca="false">_xlfn.XLOOKUP(Commits[[#This Row],[DeploymentID]],Deployments[DeploymentID],Deployments[Prod])-Commits[[#This Row],[DateCommit]]</f>
        <v>0</v>
      </c>
    </row>
    <row r="167" customFormat="false" ht="15" hidden="false" customHeight="false" outlineLevel="0" collapsed="false">
      <c r="A167" s="1" t="n">
        <v>3169</v>
      </c>
      <c r="B167" s="7" t="n">
        <v>45959</v>
      </c>
      <c r="C167" s="1" t="n">
        <v>170</v>
      </c>
      <c r="D167" s="13" t="n">
        <f aca="false">_xlfn.XLOOKUP(Commits[[#This Row],[DeploymentID]],Deployments[DeploymentID],Deployments[Prod])-Commits[[#This Row],[DateCommit]]</f>
        <v>1</v>
      </c>
    </row>
    <row r="168" customFormat="false" ht="15" hidden="false" customHeight="false" outlineLevel="0" collapsed="false">
      <c r="A168" s="1" t="n">
        <v>3171</v>
      </c>
      <c r="B168" s="7" t="n">
        <v>45959</v>
      </c>
      <c r="C168" s="1" t="n">
        <v>172</v>
      </c>
      <c r="D168" s="13" t="n">
        <f aca="false">_xlfn.XLOOKUP(Commits[[#This Row],[DeploymentID]],Deployments[DeploymentID],Deployments[Prod])-Commits[[#This Row],[DateCommit]]</f>
        <v>1</v>
      </c>
    </row>
    <row r="169" customFormat="false" ht="15" hidden="false" customHeight="false" outlineLevel="0" collapsed="false">
      <c r="A169" s="1" t="n">
        <v>3170</v>
      </c>
      <c r="B169" s="7" t="n">
        <v>45960</v>
      </c>
      <c r="C169" s="1" t="n">
        <v>171</v>
      </c>
      <c r="D169" s="13" t="n">
        <f aca="false">_xlfn.XLOOKUP(Commits[[#This Row],[DeploymentID]],Deployments[DeploymentID],Deployments[Prod])-Commits[[#This Row],[DateCommit]]</f>
        <v>0</v>
      </c>
    </row>
    <row r="170" customFormat="false" ht="15" hidden="false" customHeight="false" outlineLevel="0" collapsed="false">
      <c r="A170" s="1" t="n">
        <v>3172</v>
      </c>
      <c r="B170" s="7" t="n">
        <v>45960</v>
      </c>
      <c r="C170" s="1" t="n">
        <v>173</v>
      </c>
      <c r="D170" s="13" t="n">
        <f aca="false">_xlfn.XLOOKUP(Commits[[#This Row],[DeploymentID]],Deployments[DeploymentID],Deployments[Prod])-Commits[[#This Row],[DateCommit]]</f>
        <v>1</v>
      </c>
    </row>
    <row r="171" customFormat="false" ht="15" hidden="false" customHeight="false" outlineLevel="0" collapsed="false">
      <c r="A171" s="1" t="n">
        <v>3173</v>
      </c>
      <c r="B171" s="7" t="n">
        <v>45960</v>
      </c>
      <c r="C171" s="1" t="n">
        <v>174</v>
      </c>
      <c r="D171" s="13" t="n">
        <f aca="false">_xlfn.XLOOKUP(Commits[[#This Row],[DeploymentID]],Deployments[DeploymentID],Deployments[Prod])-Commits[[#This Row],[DateCommit]]</f>
        <v>1</v>
      </c>
    </row>
    <row r="172" customFormat="false" ht="15" hidden="false" customHeight="false" outlineLevel="0" collapsed="false">
      <c r="A172" s="1" t="n">
        <v>3174</v>
      </c>
      <c r="B172" s="7" t="n">
        <v>45961</v>
      </c>
      <c r="C172" s="1" t="n">
        <v>175</v>
      </c>
      <c r="D172" s="13" t="n">
        <f aca="false">_xlfn.XLOOKUP(Commits[[#This Row],[DeploymentID]],Deployments[DeploymentID],Deployments[Prod])-Commits[[#This Row],[DateCommit]]</f>
        <v>0</v>
      </c>
    </row>
    <row r="173" customFormat="false" ht="15" hidden="false" customHeight="false" outlineLevel="0" collapsed="false">
      <c r="A173" s="1" t="n">
        <v>3175</v>
      </c>
      <c r="B173" s="7" t="n">
        <v>45961</v>
      </c>
      <c r="C173" s="1" t="n">
        <v>176</v>
      </c>
      <c r="D173" s="13" t="n">
        <f aca="false">_xlfn.XLOOKUP(Commits[[#This Row],[DeploymentID]],Deployments[DeploymentID],Deployments[Prod])-Commits[[#This Row],[DateCommit]]</f>
        <v>1</v>
      </c>
    </row>
    <row r="174" customFormat="false" ht="15" hidden="false" customHeight="false" outlineLevel="0" collapsed="false">
      <c r="A174" s="1" t="n">
        <v>3176</v>
      </c>
      <c r="B174" s="7" t="n">
        <v>45962</v>
      </c>
      <c r="C174" s="1" t="n">
        <v>177</v>
      </c>
      <c r="D174" s="13" t="n">
        <f aca="false">_xlfn.XLOOKUP(Commits[[#This Row],[DeploymentID]],Deployments[DeploymentID],Deployments[Prod])-Commits[[#This Row],[DateCommit]]</f>
        <v>0</v>
      </c>
    </row>
    <row r="175" customFormat="false" ht="15" hidden="false" customHeight="false" outlineLevel="0" collapsed="false">
      <c r="A175" s="1" t="n">
        <v>3177</v>
      </c>
      <c r="B175" s="7" t="n">
        <v>45962</v>
      </c>
      <c r="C175" s="1" t="n">
        <v>178</v>
      </c>
      <c r="D175" s="13" t="n">
        <f aca="false">_xlfn.XLOOKUP(Commits[[#This Row],[DeploymentID]],Deployments[DeploymentID],Deployments[Prod])-Commits[[#This Row],[DateCommit]]</f>
        <v>1</v>
      </c>
    </row>
    <row r="176" customFormat="false" ht="15" hidden="false" customHeight="false" outlineLevel="0" collapsed="false">
      <c r="A176" s="1" t="n">
        <v>3178</v>
      </c>
      <c r="B176" s="7" t="n">
        <v>45962</v>
      </c>
      <c r="C176" s="1" t="n">
        <v>179</v>
      </c>
      <c r="D176" s="13" t="n">
        <f aca="false">_xlfn.XLOOKUP(Commits[[#This Row],[DeploymentID]],Deployments[DeploymentID],Deployments[Prod])-Commits[[#This Row],[DateCommit]]</f>
        <v>1</v>
      </c>
    </row>
    <row r="177" customFormat="false" ht="15" hidden="false" customHeight="false" outlineLevel="0" collapsed="false">
      <c r="A177" s="1" t="n">
        <v>3179</v>
      </c>
      <c r="B177" s="7" t="n">
        <v>45963</v>
      </c>
      <c r="C177" s="1" t="n">
        <v>180</v>
      </c>
      <c r="D177" s="13" t="n">
        <f aca="false">_xlfn.XLOOKUP(Commits[[#This Row],[DeploymentID]],Deployments[DeploymentID],Deployments[Prod])-Commits[[#This Row],[DateCommit]]</f>
        <v>0</v>
      </c>
    </row>
    <row r="178" customFormat="false" ht="15" hidden="false" customHeight="false" outlineLevel="0" collapsed="false">
      <c r="A178" s="1" t="n">
        <v>3180</v>
      </c>
      <c r="B178" s="7" t="n">
        <v>45964</v>
      </c>
      <c r="C178" s="1" t="n">
        <v>181</v>
      </c>
      <c r="D178" s="13" t="n">
        <f aca="false">_xlfn.XLOOKUP(Commits[[#This Row],[DeploymentID]],Deployments[DeploymentID],Deployments[Prod])-Commits[[#This Row],[DateCommit]]</f>
        <v>0</v>
      </c>
    </row>
    <row r="179" customFormat="false" ht="15" hidden="false" customHeight="false" outlineLevel="0" collapsed="false">
      <c r="A179" s="1" t="n">
        <v>3181</v>
      </c>
      <c r="B179" s="7" t="n">
        <v>45964</v>
      </c>
      <c r="C179" s="1" t="n">
        <v>182</v>
      </c>
      <c r="D179" s="13" t="n">
        <f aca="false">_xlfn.XLOOKUP(Commits[[#This Row],[DeploymentID]],Deployments[DeploymentID],Deployments[Prod])-Commits[[#This Row],[DateCommit]]</f>
        <v>0</v>
      </c>
    </row>
    <row r="180" customFormat="false" ht="15" hidden="false" customHeight="false" outlineLevel="0" collapsed="false">
      <c r="A180" s="1" t="n">
        <v>3182</v>
      </c>
      <c r="B180" s="7" t="n">
        <v>45964</v>
      </c>
      <c r="C180" s="1" t="n">
        <v>183</v>
      </c>
      <c r="D180" s="13" t="n">
        <f aca="false">_xlfn.XLOOKUP(Commits[[#This Row],[DeploymentID]],Deployments[DeploymentID],Deployments[Prod])-Commits[[#This Row],[DateCommit]]</f>
        <v>0</v>
      </c>
    </row>
    <row r="181" customFormat="false" ht="15" hidden="false" customHeight="false" outlineLevel="0" collapsed="false">
      <c r="A181" s="1" t="n">
        <v>3183</v>
      </c>
      <c r="B181" s="7" t="n">
        <v>45964</v>
      </c>
      <c r="C181" s="1" t="n">
        <v>184</v>
      </c>
      <c r="D181" s="13" t="n">
        <f aca="false">_xlfn.XLOOKUP(Commits[[#This Row],[DeploymentID]],Deployments[DeploymentID],Deployments[Prod])-Commits[[#This Row],[DateCommit]]</f>
        <v>1</v>
      </c>
    </row>
    <row r="182" customFormat="false" ht="15" hidden="false" customHeight="false" outlineLevel="0" collapsed="false">
      <c r="A182" s="1" t="n">
        <v>3184</v>
      </c>
      <c r="B182" s="7" t="n">
        <v>45965</v>
      </c>
      <c r="C182" s="1" t="n">
        <v>185</v>
      </c>
      <c r="D182" s="13" t="n">
        <f aca="false">_xlfn.XLOOKUP(Commits[[#This Row],[DeploymentID]],Deployments[DeploymentID],Deployments[Prod])-Commits[[#This Row],[DateCommit]]</f>
        <v>0</v>
      </c>
    </row>
    <row r="183" customFormat="false" ht="15" hidden="false" customHeight="false" outlineLevel="0" collapsed="false">
      <c r="A183" s="1" t="n">
        <v>3185</v>
      </c>
      <c r="B183" s="7" t="n">
        <v>45965</v>
      </c>
      <c r="C183" s="1" t="n">
        <v>186</v>
      </c>
      <c r="D183" s="13" t="n">
        <f aca="false">_xlfn.XLOOKUP(Commits[[#This Row],[DeploymentID]],Deployments[DeploymentID],Deployments[Prod])-Commits[[#This Row],[DateCommit]]</f>
        <v>1</v>
      </c>
    </row>
    <row r="184" customFormat="false" ht="15" hidden="false" customHeight="false" outlineLevel="0" collapsed="false">
      <c r="A184" s="1" t="n">
        <v>3186</v>
      </c>
      <c r="B184" s="7" t="n">
        <v>45965</v>
      </c>
      <c r="C184" s="1" t="n">
        <v>187</v>
      </c>
      <c r="D184" s="13" t="n">
        <f aca="false">_xlfn.XLOOKUP(Commits[[#This Row],[DeploymentID]],Deployments[DeploymentID],Deployments[Prod])-Commits[[#This Row],[DateCommit]]</f>
        <v>1</v>
      </c>
    </row>
    <row r="185" customFormat="false" ht="15" hidden="false" customHeight="false" outlineLevel="0" collapsed="false">
      <c r="A185" s="1" t="n">
        <v>3187</v>
      </c>
      <c r="B185" s="7" t="n">
        <v>45965</v>
      </c>
      <c r="C185" s="1" t="n">
        <v>188</v>
      </c>
      <c r="D185" s="13" t="n">
        <f aca="false">_xlfn.XLOOKUP(Commits[[#This Row],[DeploymentID]],Deployments[DeploymentID],Deployments[Prod])-Commits[[#This Row],[DateCommit]]</f>
        <v>1</v>
      </c>
    </row>
    <row r="186" customFormat="false" ht="15" hidden="false" customHeight="false" outlineLevel="0" collapsed="false">
      <c r="A186" s="1" t="n">
        <v>3188</v>
      </c>
      <c r="B186" s="7" t="n">
        <v>45966</v>
      </c>
      <c r="C186" s="1" t="n">
        <v>189</v>
      </c>
      <c r="D186" s="13" t="n">
        <f aca="false">_xlfn.XLOOKUP(Commits[[#This Row],[DeploymentID]],Deployments[DeploymentID],Deployments[Prod])-Commits[[#This Row],[DateCommit]]</f>
        <v>0</v>
      </c>
    </row>
    <row r="187" customFormat="false" ht="15" hidden="false" customHeight="false" outlineLevel="0" collapsed="false">
      <c r="A187" s="1" t="n">
        <v>3189</v>
      </c>
      <c r="B187" s="7" t="n">
        <v>45967</v>
      </c>
      <c r="C187" s="1" t="n">
        <v>190</v>
      </c>
      <c r="D187" s="13" t="n">
        <f aca="false">_xlfn.XLOOKUP(Commits[[#This Row],[DeploymentID]],Deployments[DeploymentID],Deployments[Prod])-Commits[[#This Row],[DateCommit]]</f>
        <v>0</v>
      </c>
    </row>
    <row r="188" customFormat="false" ht="15" hidden="false" customHeight="false" outlineLevel="0" collapsed="false">
      <c r="A188" s="1" t="n">
        <v>3190</v>
      </c>
      <c r="B188" s="7" t="n">
        <v>45967</v>
      </c>
      <c r="C188" s="1" t="n">
        <v>191</v>
      </c>
      <c r="D188" s="13" t="n">
        <f aca="false">_xlfn.XLOOKUP(Commits[[#This Row],[DeploymentID]],Deployments[DeploymentID],Deployments[Prod])-Commits[[#This Row],[DateCommit]]</f>
        <v>0</v>
      </c>
    </row>
    <row r="189" customFormat="false" ht="15" hidden="false" customHeight="false" outlineLevel="0" collapsed="false">
      <c r="A189" s="1" t="n">
        <v>3191</v>
      </c>
      <c r="B189" s="7" t="n">
        <v>45967</v>
      </c>
      <c r="C189" s="1" t="n">
        <v>192</v>
      </c>
      <c r="D189" s="13" t="n">
        <f aca="false">_xlfn.XLOOKUP(Commits[[#This Row],[DeploymentID]],Deployments[DeploymentID],Deployments[Prod])-Commits[[#This Row],[DateCommit]]</f>
        <v>0</v>
      </c>
    </row>
    <row r="190" customFormat="false" ht="15" hidden="false" customHeight="false" outlineLevel="0" collapsed="false">
      <c r="A190" s="1" t="n">
        <v>3193</v>
      </c>
      <c r="B190" s="7" t="n">
        <v>45968</v>
      </c>
      <c r="C190" s="1" t="n">
        <v>194</v>
      </c>
      <c r="D190" s="13" t="n">
        <f aca="false">_xlfn.XLOOKUP(Commits[[#This Row],[DeploymentID]],Deployments[DeploymentID],Deployments[Prod])-Commits[[#This Row],[DateCommit]]</f>
        <v>0</v>
      </c>
    </row>
    <row r="191" customFormat="false" ht="15" hidden="false" customHeight="false" outlineLevel="0" collapsed="false">
      <c r="A191" s="1" t="n">
        <v>3194</v>
      </c>
      <c r="B191" s="7" t="n">
        <v>45968</v>
      </c>
      <c r="C191" s="1" t="n">
        <v>195</v>
      </c>
      <c r="D191" s="13" t="n">
        <f aca="false">_xlfn.XLOOKUP(Commits[[#This Row],[DeploymentID]],Deployments[DeploymentID],Deployments[Prod])-Commits[[#This Row],[DateCommit]]</f>
        <v>0</v>
      </c>
    </row>
    <row r="192" customFormat="false" ht="15" hidden="false" customHeight="false" outlineLevel="0" collapsed="false">
      <c r="A192" s="1" t="n">
        <v>3195</v>
      </c>
      <c r="B192" s="7" t="n">
        <v>45968</v>
      </c>
      <c r="C192" s="1" t="n">
        <v>196</v>
      </c>
      <c r="D192" s="13" t="n">
        <f aca="false">_xlfn.XLOOKUP(Commits[[#This Row],[DeploymentID]],Deployments[DeploymentID],Deployments[Prod])-Commits[[#This Row],[DateCommit]]</f>
        <v>1</v>
      </c>
    </row>
    <row r="193" customFormat="false" ht="15" hidden="false" customHeight="false" outlineLevel="0" collapsed="false">
      <c r="A193" s="1" t="n">
        <v>3196</v>
      </c>
      <c r="B193" s="7" t="n">
        <v>45968</v>
      </c>
      <c r="C193" s="1" t="n">
        <v>197</v>
      </c>
      <c r="D193" s="13" t="n">
        <f aca="false">_xlfn.XLOOKUP(Commits[[#This Row],[DeploymentID]],Deployments[DeploymentID],Deployments[Prod])-Commits[[#This Row],[DateCommit]]</f>
        <v>1</v>
      </c>
    </row>
    <row r="194" customFormat="false" ht="15" hidden="false" customHeight="false" outlineLevel="0" collapsed="false">
      <c r="A194" s="1" t="n">
        <v>3197</v>
      </c>
      <c r="B194" s="7" t="n">
        <v>45969</v>
      </c>
      <c r="C194" s="1" t="n">
        <v>198</v>
      </c>
      <c r="D194" s="13" t="n">
        <f aca="false">_xlfn.XLOOKUP(Commits[[#This Row],[DeploymentID]],Deployments[DeploymentID],Deployments[Prod])-Commits[[#This Row],[DateCommit]]</f>
        <v>0</v>
      </c>
    </row>
    <row r="195" customFormat="false" ht="15" hidden="false" customHeight="false" outlineLevel="0" collapsed="false">
      <c r="A195" s="1" t="n">
        <v>3198</v>
      </c>
      <c r="B195" s="7" t="n">
        <v>45969</v>
      </c>
      <c r="C195" s="1" t="n">
        <v>199</v>
      </c>
      <c r="D195" s="13" t="n">
        <f aca="false">_xlfn.XLOOKUP(Commits[[#This Row],[DeploymentID]],Deployments[DeploymentID],Deployments[Prod])-Commits[[#This Row],[DateCommit]]</f>
        <v>1</v>
      </c>
    </row>
    <row r="196" customFormat="false" ht="15" hidden="false" customHeight="false" outlineLevel="0" collapsed="false">
      <c r="A196" s="1" t="n">
        <v>3199</v>
      </c>
      <c r="B196" s="7" t="n">
        <v>45969</v>
      </c>
      <c r="C196" s="1" t="n">
        <v>200</v>
      </c>
      <c r="D196" s="13" t="n">
        <f aca="false">_xlfn.XLOOKUP(Commits[[#This Row],[DeploymentID]],Deployments[DeploymentID],Deployments[Prod])-Commits[[#This Row],[DateCommit]]</f>
        <v>1</v>
      </c>
    </row>
    <row r="197" customFormat="false" ht="15" hidden="false" customHeight="false" outlineLevel="0" collapsed="false">
      <c r="A197" s="1" t="n">
        <v>3200</v>
      </c>
      <c r="B197" s="7" t="n">
        <v>45970</v>
      </c>
      <c r="C197" s="1" t="n">
        <v>201</v>
      </c>
      <c r="D197" s="13" t="n">
        <f aca="false">_xlfn.XLOOKUP(Commits[[#This Row],[DeploymentID]],Deployments[DeploymentID],Deployments[Prod])-Commits[[#This Row],[DateCommit]]</f>
        <v>0</v>
      </c>
    </row>
    <row r="198" customFormat="false" ht="15" hidden="false" customHeight="false" outlineLevel="0" collapsed="false">
      <c r="A198" s="1" t="n">
        <v>3201</v>
      </c>
      <c r="B198" s="7" t="n">
        <v>45970</v>
      </c>
      <c r="C198" s="1" t="n">
        <v>202</v>
      </c>
      <c r="D198" s="13" t="n">
        <f aca="false">_xlfn.XLOOKUP(Commits[[#This Row],[DeploymentID]],Deployments[DeploymentID],Deployments[Prod])-Commits[[#This Row],[DateCommit]]</f>
        <v>1</v>
      </c>
    </row>
    <row r="199" customFormat="false" ht="15" hidden="false" customHeight="false" outlineLevel="0" collapsed="false">
      <c r="A199" s="1" t="n">
        <v>3202</v>
      </c>
      <c r="B199" s="7" t="n">
        <v>45971</v>
      </c>
      <c r="C199" s="1" t="n">
        <v>203</v>
      </c>
      <c r="D199" s="13" t="n">
        <f aca="false">_xlfn.XLOOKUP(Commits[[#This Row],[DeploymentID]],Deployments[DeploymentID],Deployments[Prod])-Commits[[#This Row],[DateCommit]]</f>
        <v>0</v>
      </c>
    </row>
    <row r="200" customFormat="false" ht="15" hidden="false" customHeight="false" outlineLevel="0" collapsed="false">
      <c r="A200" s="1" t="n">
        <v>3203</v>
      </c>
      <c r="B200" s="7" t="n">
        <v>45971</v>
      </c>
      <c r="C200" s="1" t="n">
        <v>204</v>
      </c>
      <c r="D200" s="13" t="n">
        <f aca="false">_xlfn.XLOOKUP(Commits[[#This Row],[DeploymentID]],Deployments[DeploymentID],Deployments[Prod])-Commits[[#This Row],[DateCommit]]</f>
        <v>0</v>
      </c>
    </row>
    <row r="201" customFormat="false" ht="15" hidden="false" customHeight="false" outlineLevel="0" collapsed="false">
      <c r="A201" s="1" t="n">
        <v>3204</v>
      </c>
      <c r="B201" s="7" t="n">
        <v>45972</v>
      </c>
      <c r="C201" s="1" t="n">
        <v>205</v>
      </c>
      <c r="D201" s="13" t="n">
        <f aca="false">_xlfn.XLOOKUP(Commits[[#This Row],[DeploymentID]],Deployments[DeploymentID],Deployments[Prod])-Commits[[#This Row],[DateCommit]]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4" width="14.43"/>
    <col collapsed="false" customWidth="true" hidden="false" outlineLevel="0" max="3" min="3" style="1" width="18"/>
    <col collapsed="false" customWidth="true" hidden="false" outlineLevel="0" max="4" min="4" style="15" width="18"/>
    <col collapsed="false" customWidth="true" hidden="false" outlineLevel="0" max="5" min="5" style="16" width="18"/>
  </cols>
  <sheetData>
    <row r="1" customFormat="false" ht="15" hidden="false" customHeight="true" outlineLevel="0" collapsed="false">
      <c r="A1" s="3" t="s">
        <v>7</v>
      </c>
      <c r="B1" s="17" t="s">
        <v>8</v>
      </c>
      <c r="C1" s="3" t="s">
        <v>9</v>
      </c>
      <c r="D1" s="18" t="s">
        <v>6</v>
      </c>
      <c r="E1" s="19" t="s">
        <v>10</v>
      </c>
    </row>
    <row r="2" customFormat="false" ht="15" hidden="false" customHeight="true" outlineLevel="0" collapsed="false">
      <c r="A2" s="5" t="n">
        <v>1</v>
      </c>
      <c r="B2" s="6" t="n">
        <v>45905</v>
      </c>
      <c r="C2" s="5" t="n">
        <v>15</v>
      </c>
      <c r="D2" s="15" t="n">
        <f aca="false">_xlfn.XLOOKUP(Issues[[#This Row],[Fixed-ReleaseID]],Deployments[DeploymentID],Deployments[Prod])-Issues[[#This Row],[Report Date]]</f>
        <v>1</v>
      </c>
      <c r="E2" s="20" t="n">
        <f aca="false">_xlfn.XLOOKUP(Issues[[#This Row],[Fixed-ReleaseID]],Deployments[DeploymentID],Deployments[Prod])</f>
        <v>45906</v>
      </c>
    </row>
    <row r="3" customFormat="false" ht="15" hidden="false" customHeight="true" outlineLevel="0" collapsed="false">
      <c r="A3" s="5" t="n">
        <v>2</v>
      </c>
      <c r="B3" s="6" t="n">
        <v>45912</v>
      </c>
      <c r="C3" s="5" t="n">
        <v>34</v>
      </c>
      <c r="D3" s="15" t="n">
        <f aca="false">_xlfn.XLOOKUP(Issues[[#This Row],[Fixed-ReleaseID]],Deployments[DeploymentID],Deployments[Prod])-Issues[[#This Row],[Report Date]]</f>
        <v>1</v>
      </c>
      <c r="E3" s="20" t="n">
        <f aca="false">_xlfn.XLOOKUP(Issues[[#This Row],[Fixed-ReleaseID]],Deployments[DeploymentID],Deployments[Prod])</f>
        <v>45913</v>
      </c>
    </row>
    <row r="4" customFormat="false" ht="15" hidden="false" customHeight="true" outlineLevel="0" collapsed="false">
      <c r="A4" s="5" t="n">
        <v>3</v>
      </c>
      <c r="B4" s="6" t="n">
        <v>45932</v>
      </c>
      <c r="C4" s="5" t="n">
        <v>92</v>
      </c>
      <c r="D4" s="15" t="n">
        <f aca="false">_xlfn.XLOOKUP(Issues[[#This Row],[Fixed-ReleaseID]],Deployments[DeploymentID],Deployments[Prod])-Issues[[#This Row],[Report Date]]</f>
        <v>0</v>
      </c>
      <c r="E4" s="20" t="n">
        <f aca="false">_xlfn.XLOOKUP(Issues[[#This Row],[Fixed-ReleaseID]],Deployments[DeploymentID],Deployments[Prod])</f>
        <v>45932</v>
      </c>
    </row>
    <row r="5" customFormat="false" ht="15" hidden="false" customHeight="true" outlineLevel="0" collapsed="false">
      <c r="A5" s="5" t="n">
        <v>4</v>
      </c>
      <c r="B5" s="6" t="n">
        <v>45941</v>
      </c>
      <c r="C5" s="5" t="n">
        <v>119</v>
      </c>
      <c r="D5" s="15" t="n">
        <f aca="false">_xlfn.XLOOKUP(Issues[[#This Row],[Fixed-ReleaseID]],Deployments[DeploymentID],Deployments[Prod])-Issues[[#This Row],[Report Date]]</f>
        <v>1</v>
      </c>
      <c r="E5" s="20" t="n">
        <f aca="false">_xlfn.XLOOKUP(Issues[[#This Row],[Fixed-ReleaseID]],Deployments[DeploymentID],Deployments[Prod])</f>
        <v>45942</v>
      </c>
    </row>
    <row r="6" customFormat="false" ht="15" hidden="false" customHeight="true" outlineLevel="0" collapsed="false">
      <c r="A6" s="5" t="n">
        <v>5</v>
      </c>
      <c r="B6" s="6" t="n">
        <v>45968</v>
      </c>
      <c r="C6" s="5" t="n">
        <v>193</v>
      </c>
      <c r="D6" s="15" t="n">
        <f aca="false">_xlfn.XLOOKUP(Issues[[#This Row],[Fixed-ReleaseID]],Deployments[DeploymentID],Deployments[Prod])-Issues[[#This Row],[Report Date]]</f>
        <v>0</v>
      </c>
      <c r="E6" s="20" t="n">
        <f aca="false">_xlfn.XLOOKUP(Issues[[#This Row],[Fixed-ReleaseID]],Deployments[DeploymentID],Deployments[Prod])</f>
        <v>45968</v>
      </c>
    </row>
    <row r="7" customFormat="false" ht="15" hidden="false" customHeight="true" outlineLevel="0" collapsed="false">
      <c r="A7" s="5" t="n">
        <v>6</v>
      </c>
      <c r="B7" s="6" t="n">
        <v>45981</v>
      </c>
      <c r="C7" s="5" t="n">
        <v>230</v>
      </c>
      <c r="D7" s="15" t="n">
        <f aca="false">_xlfn.XLOOKUP(Issues[[#This Row],[Fixed-ReleaseID]],Deployments[DeploymentID],Deployments[Prod])-Issues[[#This Row],[Report Date]]</f>
        <v>0</v>
      </c>
      <c r="E7" s="20" t="n">
        <f aca="false">_xlfn.XLOOKUP(Issues[[#This Row],[Fixed-ReleaseID]],Deployments[DeploymentID],Deployments[Prod])</f>
        <v>45981</v>
      </c>
    </row>
    <row r="8" customFormat="false" ht="15" hidden="false" customHeight="true" outlineLevel="0" collapsed="false">
      <c r="A8" s="5" t="n">
        <v>7</v>
      </c>
      <c r="B8" s="6" t="n">
        <v>45983</v>
      </c>
      <c r="C8" s="5" t="n">
        <v>236</v>
      </c>
      <c r="D8" s="15" t="n">
        <f aca="false">_xlfn.XLOOKUP(Issues[[#This Row],[Fixed-ReleaseID]],Deployments[DeploymentID],Deployments[Prod])-Issues[[#This Row],[Report Date]]</f>
        <v>0</v>
      </c>
      <c r="E8" s="20" t="n">
        <f aca="false">_xlfn.XLOOKUP(Issues[[#This Row],[Fixed-ReleaseID]],Deployments[DeploymentID],Deployments[Prod])</f>
        <v>45983</v>
      </c>
    </row>
    <row r="9" customFormat="false" ht="15" hidden="false" customHeight="true" outlineLevel="0" collapsed="false">
      <c r="A9" s="5" t="n">
        <v>8</v>
      </c>
      <c r="B9" s="6" t="n">
        <v>46009</v>
      </c>
      <c r="C9" s="5" t="n">
        <v>311</v>
      </c>
      <c r="D9" s="15" t="n">
        <f aca="false">_xlfn.XLOOKUP(Issues[[#This Row],[Fixed-ReleaseID]],Deployments[DeploymentID],Deployments[Prod])-Issues[[#This Row],[Report Date]]</f>
        <v>0</v>
      </c>
      <c r="E9" s="20" t="n">
        <f aca="false">_xlfn.XLOOKUP(Issues[[#This Row],[Fixed-ReleaseID]],Deployments[DeploymentID],Deployments[Prod])</f>
        <v>46009</v>
      </c>
    </row>
    <row r="10" customFormat="false" ht="15" hidden="false" customHeight="true" outlineLevel="0" collapsed="false">
      <c r="A10" s="5" t="n">
        <v>9</v>
      </c>
      <c r="B10" s="6" t="n">
        <v>46017</v>
      </c>
      <c r="C10" s="5" t="n">
        <v>334</v>
      </c>
      <c r="D10" s="15" t="n">
        <f aca="false">_xlfn.XLOOKUP(Issues[[#This Row],[Fixed-ReleaseID]],Deployments[DeploymentID],Deployments[Prod])-Issues[[#This Row],[Report Date]]</f>
        <v>0</v>
      </c>
      <c r="E10" s="20" t="n">
        <f aca="false">_xlfn.XLOOKUP(Issues[[#This Row],[Fixed-ReleaseID]],Deployments[DeploymentID],Deployments[Prod])</f>
        <v>46017</v>
      </c>
    </row>
    <row r="11" customFormat="false" ht="15" hidden="false" customHeight="true" outlineLevel="0" collapsed="false">
      <c r="A11" s="5" t="n">
        <v>10</v>
      </c>
      <c r="B11" s="6" t="n">
        <v>46053</v>
      </c>
      <c r="C11" s="5" t="n">
        <v>438</v>
      </c>
      <c r="D11" s="15" t="n">
        <f aca="false">_xlfn.XLOOKUP(Issues[[#This Row],[Fixed-ReleaseID]],Deployments[DeploymentID],Deployments[Prod])-Issues[[#This Row],[Report Date]]</f>
        <v>0</v>
      </c>
      <c r="E11" s="20" t="n">
        <f aca="false">_xlfn.XLOOKUP(Issues[[#This Row],[Fixed-ReleaseID]],Deployments[DeploymentID],Deployments[Prod])</f>
        <v>46053</v>
      </c>
    </row>
    <row r="12" customFormat="false" ht="15" hidden="false" customHeight="true" outlineLevel="0" collapsed="false">
      <c r="A12" s="5" t="n">
        <v>11</v>
      </c>
      <c r="B12" s="6" t="n">
        <v>46055</v>
      </c>
      <c r="C12" s="5" t="n">
        <v>444</v>
      </c>
      <c r="D12" s="15" t="n">
        <f aca="false">_xlfn.XLOOKUP(Issues[[#This Row],[Fixed-ReleaseID]],Deployments[DeploymentID],Deployments[Prod])-Issues[[#This Row],[Report Date]]</f>
        <v>0</v>
      </c>
      <c r="E12" s="20" t="n">
        <f aca="false">_xlfn.XLOOKUP(Issues[[#This Row],[Fixed-ReleaseID]],Deployments[DeploymentID],Deployments[Prod])</f>
        <v>46055</v>
      </c>
    </row>
    <row r="13" customFormat="false" ht="15" hidden="false" customHeight="true" outlineLevel="0" collapsed="false">
      <c r="A13" s="5" t="n">
        <v>12</v>
      </c>
      <c r="B13" s="6" t="n">
        <v>46057</v>
      </c>
      <c r="C13" s="5" t="n">
        <v>448</v>
      </c>
      <c r="D13" s="15" t="n">
        <f aca="false">_xlfn.XLOOKUP(Issues[[#This Row],[Fixed-ReleaseID]],Deployments[DeploymentID],Deployments[Prod])-Issues[[#This Row],[Report Date]]</f>
        <v>0</v>
      </c>
      <c r="E13" s="20" t="n">
        <f aca="false">_xlfn.XLOOKUP(Issues[[#This Row],[Fixed-ReleaseID]],Deployments[DeploymentID],Deployments[Prod])</f>
        <v>46057</v>
      </c>
    </row>
    <row r="14" customFormat="false" ht="15" hidden="false" customHeight="true" outlineLevel="0" collapsed="false">
      <c r="A14" s="5" t="n">
        <v>13</v>
      </c>
      <c r="B14" s="6" t="n">
        <v>46061</v>
      </c>
      <c r="C14" s="5" t="n">
        <v>459</v>
      </c>
      <c r="D14" s="15" t="n">
        <f aca="false">_xlfn.XLOOKUP(Issues[[#This Row],[Fixed-ReleaseID]],Deployments[DeploymentID],Deployments[Prod])-Issues[[#This Row],[Report Date]]</f>
        <v>0</v>
      </c>
      <c r="E14" s="20" t="n">
        <f aca="false">_xlfn.XLOOKUP(Issues[[#This Row],[Fixed-ReleaseID]],Deployments[DeploymentID],Deployments[Prod])</f>
        <v>46061</v>
      </c>
    </row>
    <row r="15" customFormat="false" ht="15" hidden="false" customHeight="true" outlineLevel="0" collapsed="false">
      <c r="A15" s="5" t="n">
        <v>14</v>
      </c>
      <c r="B15" s="6" t="n">
        <v>46063</v>
      </c>
      <c r="C15" s="5" t="n">
        <v>465</v>
      </c>
      <c r="D15" s="15" t="n">
        <f aca="false">_xlfn.XLOOKUP(Issues[[#This Row],[Fixed-ReleaseID]],Deployments[DeploymentID],Deployments[Prod])-Issues[[#This Row],[Report Date]]</f>
        <v>0</v>
      </c>
      <c r="E15" s="20" t="n">
        <f aca="false">_xlfn.XLOOKUP(Issues[[#This Row],[Fixed-ReleaseID]],Deployments[DeploymentID],Deployments[Prod])</f>
        <v>46063</v>
      </c>
    </row>
    <row r="16" customFormat="false" ht="15" hidden="false" customHeight="true" outlineLevel="0" collapsed="false">
      <c r="A16" s="5"/>
      <c r="B16" s="21"/>
      <c r="C16" s="5"/>
    </row>
    <row r="17" customFormat="false" ht="15" hidden="false" customHeight="true" outlineLevel="0" collapsed="false">
      <c r="A17" s="5"/>
      <c r="B17" s="21"/>
      <c r="C17" s="5"/>
    </row>
    <row r="18" customFormat="false" ht="15" hidden="false" customHeight="true" outlineLevel="0" collapsed="false">
      <c r="A18" s="5"/>
      <c r="B18" s="21"/>
      <c r="C18" s="5"/>
    </row>
    <row r="19" customFormat="false" ht="15" hidden="false" customHeight="true" outlineLevel="0" collapsed="false">
      <c r="A19" s="5"/>
      <c r="B19" s="21"/>
      <c r="C19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2" activeCellId="0" sqref="J3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3" style="1" width="9.3"/>
    <col collapsed="false" customWidth="true" hidden="false" outlineLevel="0" max="4" min="4" style="1" width="27.7"/>
    <col collapsed="false" customWidth="true" hidden="false" outlineLevel="0" max="5" min="5" style="1" width="13.86"/>
    <col collapsed="false" customWidth="true" hidden="false" outlineLevel="0" max="6" min="6" style="1" width="9.3"/>
    <col collapsed="false" customWidth="true" hidden="false" outlineLevel="0" max="7" min="7" style="1" width="10.43"/>
    <col collapsed="false" customWidth="true" hidden="false" outlineLevel="0" max="9" min="8" style="1" width="9.3"/>
    <col collapsed="false" customWidth="true" hidden="false" outlineLevel="0" max="10" min="10" style="1" width="11.86"/>
    <col collapsed="false" customWidth="true" hidden="false" outlineLevel="0" max="13" min="11" style="1" width="11.57"/>
  </cols>
  <sheetData>
    <row r="1" s="23" customFormat="true" ht="15" hidden="false" customHeight="true" outlineLevel="0" collapsed="false">
      <c r="A1" s="22"/>
      <c r="B1" s="22"/>
      <c r="C1" s="22"/>
      <c r="D1" s="7" t="n">
        <v>45901</v>
      </c>
      <c r="E1" s="7" t="n">
        <v>45931</v>
      </c>
      <c r="F1" s="7" t="n">
        <v>45962</v>
      </c>
      <c r="G1" s="7" t="n">
        <v>45992</v>
      </c>
      <c r="H1" s="7" t="n">
        <v>46023</v>
      </c>
      <c r="I1" s="7" t="n">
        <v>46054</v>
      </c>
    </row>
    <row r="2" s="24" customFormat="true" ht="15" hidden="false" customHeight="true" outlineLevel="0" collapsed="false">
      <c r="A2" s="15" t="s">
        <v>11</v>
      </c>
      <c r="B2" s="15"/>
      <c r="C2" s="15" t="n">
        <f aca="false">(MAX(Deployments[Acc])-MIN(Deployments[Acc]))/COUNTA(Deployments[Acc])</f>
        <v>0.346153846153846</v>
      </c>
      <c r="D2" s="24" t="s">
        <v>12</v>
      </c>
      <c r="E2" s="24" t="n">
        <f aca="false">COUNTIFS(Deployments[Acc],"&gt;="&amp;D$1,Deployments[Acc],"&lt;"&amp;E$1)</f>
        <v>88</v>
      </c>
      <c r="F2" s="24" t="n">
        <f aca="false">COUNTIFS(Deployments[Acc],"&gt;="&amp;E$1,Deployments[Acc],"&lt;"&amp;F$1)</f>
        <v>87</v>
      </c>
      <c r="G2" s="24" t="n">
        <f aca="false">COUNTIFS(Deployments[Acc],"&gt;="&amp;F$1,Deployments[Acc],"&lt;"&amp;G$1)</f>
        <v>87</v>
      </c>
      <c r="H2" s="24" t="n">
        <f aca="false">COUNTIFS(Deployments[Acc],"&gt;="&amp;G$1,Deployments[Acc],"&lt;"&amp;H$1)</f>
        <v>87</v>
      </c>
      <c r="I2" s="24" t="n">
        <f aca="false">COUNTIFS(Deployments[Acc],"&gt;="&amp;H$1,Deployments[Acc],"&lt;"&amp;I$1)</f>
        <v>91</v>
      </c>
      <c r="J2" s="24" t="n">
        <f aca="false">COUNTIFS(Deployments[Acc],"&gt;="&amp;I$1,Deployments[Acc],"&lt;"&amp;J$1)</f>
        <v>0</v>
      </c>
      <c r="K2" s="24" t="n">
        <f aca="false">COUNTIFS(Deployments[Acc],"&gt;="&amp;J$1,Deployments[Acc],"&lt;"&amp;K$1)</f>
        <v>0</v>
      </c>
      <c r="L2" s="24" t="n">
        <f aca="false">COUNTIFS(Deployments[Acc],"&gt;="&amp;K$1,Deployments[Acc],"&lt;"&amp;L$1)</f>
        <v>0</v>
      </c>
      <c r="M2" s="24" t="n">
        <f aca="false">COUNTIFS(Deployments[Acc],"&gt;="&amp;L$1,Deployments[Acc],"&lt;"&amp;M$1)</f>
        <v>0</v>
      </c>
      <c r="N2" s="24" t="n">
        <f aca="false">COUNTIFS(Deployments[Acc],"&gt;="&amp;M$1,Deployments[Acc],"&lt;"&amp;N$1)</f>
        <v>0</v>
      </c>
      <c r="O2" s="24" t="n">
        <f aca="false">COUNTIFS(Deployments[Acc],"&gt;="&amp;N$1,Deployments[Acc],"&lt;"&amp;O$1)</f>
        <v>0</v>
      </c>
      <c r="P2" s="24" t="n">
        <f aca="false">COUNTIFS(Deployments[Acc],"&gt;="&amp;O$1,Deployments[Acc],"&lt;"&amp;P$1)</f>
        <v>0</v>
      </c>
      <c r="Q2" s="24" t="n">
        <f aca="false">COUNTIFS(Deployments[Acc],"&gt;="&amp;P$1,Deployments[Acc],"&lt;"&amp;Q$1)</f>
        <v>0</v>
      </c>
      <c r="R2" s="24" t="n">
        <f aca="false">COUNTIFS(Deployments[Acc],"&gt;="&amp;Q$1,Deployments[Acc],"&lt;"&amp;R$1)</f>
        <v>0</v>
      </c>
      <c r="S2" s="24" t="n">
        <f aca="false">COUNTIFS(Deployments[Acc],"&gt;="&amp;R$1,Deployments[Acc],"&lt;"&amp;S$1)</f>
        <v>0</v>
      </c>
      <c r="T2" s="24" t="n">
        <f aca="false">COUNTIFS(Deployments[Acc],"&gt;="&amp;S$1,Deployments[Acc],"&lt;"&amp;T$1)</f>
        <v>0</v>
      </c>
      <c r="U2" s="24" t="n">
        <f aca="false">COUNTIFS(Deployments[Acc],"&gt;="&amp;T$1,Deployments[Acc],"&lt;"&amp;U$1)</f>
        <v>0</v>
      </c>
      <c r="V2" s="24" t="n">
        <f aca="false">COUNTIFS(Deployments[Acc],"&gt;="&amp;U$1,Deployments[Acc],"&lt;"&amp;V$1)</f>
        <v>0</v>
      </c>
      <c r="W2" s="24" t="n">
        <f aca="false">COUNTIFS(Deployments[Acc],"&gt;="&amp;V$1,Deployments[Acc],"&lt;"&amp;W$1)</f>
        <v>0</v>
      </c>
      <c r="X2" s="24" t="n">
        <f aca="false">COUNTIFS(Deployments[Acc],"&gt;="&amp;W$1,Deployments[Acc],"&lt;"&amp;X$1)</f>
        <v>0</v>
      </c>
      <c r="Y2" s="24" t="n">
        <f aca="false">COUNTIFS(Deployments[Acc],"&gt;="&amp;X$1,Deployments[Acc],"&lt;"&amp;Y$1)</f>
        <v>0</v>
      </c>
      <c r="Z2" s="24" t="n">
        <f aca="false">COUNTIFS(Deployments[Acc],"&gt;="&amp;Y$1,Deployments[Acc],"&lt;"&amp;Z$1)</f>
        <v>0</v>
      </c>
      <c r="AA2" s="24" t="n">
        <f aca="false">COUNTIFS(Deployments[Acc],"&gt;="&amp;Z$1,Deployments[Acc],"&lt;"&amp;AA$1)</f>
        <v>0</v>
      </c>
      <c r="AB2" s="24" t="n">
        <f aca="false">COUNTIFS(Deployments[Acc],"&gt;="&amp;AA$1,Deployments[Acc],"&lt;"&amp;AB$1)</f>
        <v>0</v>
      </c>
      <c r="AC2" s="24" t="n">
        <f aca="false">COUNTIFS(Deployments[Acc],"&gt;="&amp;AB$1,Deployments[Acc],"&lt;"&amp;AC$1)</f>
        <v>0</v>
      </c>
      <c r="AD2" s="24" t="n">
        <f aca="false">COUNTIFS(Deployments[Acc],"&gt;="&amp;AC$1,Deployments[Acc],"&lt;"&amp;AD$1)</f>
        <v>0</v>
      </c>
      <c r="AE2" s="24" t="n">
        <f aca="false">COUNTIFS(Deployments[Acc],"&gt;="&amp;AD$1,Deployments[Acc],"&lt;"&amp;AE$1)</f>
        <v>0</v>
      </c>
      <c r="AF2" s="24" t="n">
        <f aca="false">COUNTIFS(Deployments[Acc],"&gt;="&amp;AE$1,Deployments[Acc],"&lt;"&amp;AF$1)</f>
        <v>0</v>
      </c>
    </row>
    <row r="3" customFormat="false" ht="15" hidden="false" customHeight="true" outlineLevel="0" collapsed="false">
      <c r="A3" s="25" t="s">
        <v>13</v>
      </c>
      <c r="B3" s="25"/>
      <c r="C3" s="15" t="n">
        <f aca="false">(MAX(Deployments[Prod])-MIN(Deployments[Prod]))/COUNTA(Deployments[Prod])</f>
        <v>0.346153846153846</v>
      </c>
      <c r="D3" s="24" t="s">
        <v>12</v>
      </c>
      <c r="E3" s="1" t="n">
        <f aca="false">COUNTIFS(Deployments[Prod],"&gt;="&amp;D$1,Deployments[Prod],"&lt;"&amp;E$1)</f>
        <v>88</v>
      </c>
      <c r="F3" s="1" t="n">
        <f aca="false">COUNTIFS(Deployments[Prod],"&gt;="&amp;E$1,Deployments[Prod],"&lt;"&amp;F$1)</f>
        <v>87</v>
      </c>
      <c r="G3" s="1" t="n">
        <f aca="false">COUNTIFS(Deployments[Prod],"&gt;="&amp;F$1,Deployments[Prod],"&lt;"&amp;G$1)</f>
        <v>87</v>
      </c>
      <c r="H3" s="1" t="n">
        <f aca="false">COUNTIFS(Deployments[Prod],"&gt;="&amp;G$1,Deployments[Prod],"&lt;"&amp;H$1)</f>
        <v>87</v>
      </c>
      <c r="I3" s="1" t="n">
        <f aca="false">COUNTIFS(Deployments[Prod],"&gt;="&amp;H$1,Deployments[Prod],"&lt;"&amp;I$1)</f>
        <v>91</v>
      </c>
      <c r="J3" s="1" t="n">
        <f aca="false">COUNTIFS(Deployments[Prod],"&gt;="&amp;I$1,Deployments[Prod],"&lt;"&amp;J$1)</f>
        <v>0</v>
      </c>
      <c r="K3" s="1" t="n">
        <f aca="false">COUNTIFS(Deployments[Prod],"&gt;="&amp;J$1,Deployments[Prod],"&lt;"&amp;K$1)</f>
        <v>0</v>
      </c>
      <c r="L3" s="1" t="n">
        <f aca="false">COUNTIFS(Deployments[Prod],"&gt;="&amp;K$1,Deployments[Prod],"&lt;"&amp;L$1)</f>
        <v>0</v>
      </c>
      <c r="M3" s="1" t="n">
        <f aca="false">COUNTIFS(Deployments[Prod],"&gt;="&amp;L$1,Deployments[Prod],"&lt;"&amp;M$1)</f>
        <v>0</v>
      </c>
      <c r="N3" s="1" t="n">
        <f aca="false">COUNTIFS(Deployments[Prod],"&gt;="&amp;M$1,Deployments[Prod],"&lt;"&amp;N$1)</f>
        <v>0</v>
      </c>
      <c r="O3" s="1" t="n">
        <f aca="false">COUNTIFS(Deployments[Prod],"&gt;="&amp;N$1,Deployments[Prod],"&lt;"&amp;O$1)</f>
        <v>0</v>
      </c>
      <c r="P3" s="1" t="n">
        <f aca="false">COUNTIFS(Deployments[Prod],"&gt;="&amp;O$1,Deployments[Prod],"&lt;"&amp;P$1)</f>
        <v>0</v>
      </c>
      <c r="Q3" s="1" t="n">
        <f aca="false">COUNTIFS(Deployments[Prod],"&gt;="&amp;P$1,Deployments[Prod],"&lt;"&amp;Q$1)</f>
        <v>0</v>
      </c>
      <c r="R3" s="1" t="n">
        <f aca="false">COUNTIFS(Deployments[Prod],"&gt;="&amp;Q$1,Deployments[Prod],"&lt;"&amp;R$1)</f>
        <v>0</v>
      </c>
      <c r="S3" s="1" t="n">
        <f aca="false">COUNTIFS(Deployments[Prod],"&gt;="&amp;R$1,Deployments[Prod],"&lt;"&amp;S$1)</f>
        <v>0</v>
      </c>
      <c r="T3" s="1" t="n">
        <f aca="false">COUNTIFS(Deployments[Prod],"&gt;="&amp;S$1,Deployments[Prod],"&lt;"&amp;T$1)</f>
        <v>0</v>
      </c>
      <c r="U3" s="1" t="n">
        <f aca="false">COUNTIFS(Deployments[Prod],"&gt;="&amp;T$1,Deployments[Prod],"&lt;"&amp;U$1)</f>
        <v>0</v>
      </c>
      <c r="V3" s="1" t="n">
        <f aca="false">COUNTIFS(Deployments[Prod],"&gt;="&amp;U$1,Deployments[Prod],"&lt;"&amp;V$1)</f>
        <v>0</v>
      </c>
      <c r="W3" s="1" t="n">
        <f aca="false">COUNTIFS(Deployments[Prod],"&gt;="&amp;V$1,Deployments[Prod],"&lt;"&amp;W$1)</f>
        <v>0</v>
      </c>
      <c r="X3" s="1" t="n">
        <f aca="false">COUNTIFS(Deployments[Prod],"&gt;="&amp;W$1,Deployments[Prod],"&lt;"&amp;X$1)</f>
        <v>0</v>
      </c>
      <c r="Y3" s="1" t="n">
        <f aca="false">COUNTIFS(Deployments[Prod],"&gt;="&amp;X$1,Deployments[Prod],"&lt;"&amp;Y$1)</f>
        <v>0</v>
      </c>
      <c r="Z3" s="1" t="n">
        <f aca="false">COUNTIFS(Deployments[Prod],"&gt;="&amp;Y$1,Deployments[Prod],"&lt;"&amp;Z$1)</f>
        <v>0</v>
      </c>
      <c r="AA3" s="1" t="n">
        <f aca="false">COUNTIFS(Deployments[Prod],"&gt;="&amp;Z$1,Deployments[Prod],"&lt;"&amp;AA$1)</f>
        <v>0</v>
      </c>
      <c r="AB3" s="1" t="n">
        <f aca="false">COUNTIFS(Deployments[Prod],"&gt;="&amp;AA$1,Deployments[Prod],"&lt;"&amp;AB$1)</f>
        <v>0</v>
      </c>
      <c r="AC3" s="1" t="n">
        <f aca="false">COUNTIFS(Deployments[Prod],"&gt;="&amp;AB$1,Deployments[Prod],"&lt;"&amp;AC$1)</f>
        <v>0</v>
      </c>
      <c r="AD3" s="1" t="n">
        <f aca="false">COUNTIFS(Deployments[Prod],"&gt;="&amp;AC$1,Deployments[Prod],"&lt;"&amp;AD$1)</f>
        <v>0</v>
      </c>
      <c r="AE3" s="1" t="n">
        <f aca="false">COUNTIFS(Deployments[Prod],"&gt;="&amp;AD$1,Deployments[Prod],"&lt;"&amp;AE$1)</f>
        <v>0</v>
      </c>
      <c r="AF3" s="1" t="n">
        <f aca="false">COUNTIFS(Deployments[Prod],"&gt;="&amp;AE$1,Deployments[Prod],"&lt;"&amp;AF$1)</f>
        <v>0</v>
      </c>
    </row>
    <row r="4" s="1" customFormat="true" ht="15" hidden="false" customHeight="true" outlineLevel="0" collapsed="false">
      <c r="A4" s="25" t="s">
        <v>14</v>
      </c>
      <c r="B4" s="25"/>
      <c r="C4" s="25" t="n">
        <f aca="false">SUM(Deployments[failed?])/COUNT(Deployments[failed?])</f>
        <v>0.0269230769230769</v>
      </c>
      <c r="D4" s="1" t="s">
        <v>15</v>
      </c>
      <c r="E4" s="26" t="n">
        <f aca="false">IFERROR(SUMIFS(Deployments[failed?],Deployments[Prod],"&gt;="&amp;D$1,Deployments[Prod],"&lt;"&amp;E$1)/COUNTIFS(Deployments[Prod],"&gt;="&amp;D$1,Deployments[Prod],"&lt;"&amp;E$1),0)</f>
        <v>0.0227272727272727</v>
      </c>
      <c r="F4" s="26" t="n">
        <f aca="false">IFERROR(SUMIFS(Deployments[failed?],Deployments[Prod],"&gt;="&amp;E$1,Deployments[Prod],"&lt;"&amp;F$1)/COUNTIFS(Deployments[Prod],"&gt;="&amp;E$1,Deployments[Prod],"&lt;"&amp;F$1),0)</f>
        <v>0.0229885057471264</v>
      </c>
      <c r="G4" s="26" t="n">
        <f aca="false">IFERROR(SUMIFS(Deployments[failed?],Deployments[Prod],"&gt;="&amp;F$1,Deployments[Prod],"&lt;"&amp;G$1)/COUNTIFS(Deployments[Prod],"&gt;="&amp;F$1,Deployments[Prod],"&lt;"&amp;G$1),0)</f>
        <v>0.0344827586206897</v>
      </c>
      <c r="H4" s="26" t="n">
        <f aca="false">IFERROR(SUMIFS(Deployments[failed?],Deployments[Prod],"&gt;="&amp;G$1,Deployments[Prod],"&lt;"&amp;H$1)/COUNTIFS(Deployments[Prod],"&gt;="&amp;G$1,Deployments[Prod],"&lt;"&amp;H$1),0)</f>
        <v>0.0229885057471264</v>
      </c>
      <c r="I4" s="26" t="n">
        <f aca="false">IFERROR(SUMIFS(Deployments[failed?],Deployments[Prod],"&gt;="&amp;H$1,Deployments[Prod],"&lt;"&amp;I$1)/COUNTIFS(Deployments[Prod],"&gt;="&amp;H$1,Deployments[Prod],"&lt;"&amp;I$1),0)</f>
        <v>0.010989010989011</v>
      </c>
      <c r="J4" s="26" t="n">
        <f aca="false">IFERROR(SUMIFS(Deployments[failed?],Deployments[Prod],"&gt;="&amp;I$1,Deployments[Prod],"&lt;"&amp;J$1)/COUNTIFS(Deployments[Prod],"&gt;="&amp;I$1,Deployments[Prod],"&lt;"&amp;J$1),0)</f>
        <v>0</v>
      </c>
      <c r="K4" s="26" t="n">
        <f aca="false">IFERROR(SUMIFS(Deployments[failed?],Deployments[Prod],"&gt;="&amp;J$1,Deployments[Prod],"&lt;"&amp;K$1)/COUNTIFS(Deployments[Prod],"&gt;="&amp;J$1,Deployments[Prod],"&lt;"&amp;K$1),0)</f>
        <v>0</v>
      </c>
      <c r="L4" s="26" t="n">
        <f aca="false">IFERROR(SUMIFS(Deployments[failed?],Deployments[Prod],"&gt;="&amp;K$1,Deployments[Prod],"&lt;"&amp;L$1)/COUNTIFS(Deployments[Prod],"&gt;="&amp;K$1,Deployments[Prod],"&lt;"&amp;L$1),0)</f>
        <v>0</v>
      </c>
      <c r="M4" s="26" t="n">
        <f aca="false">IFERROR(SUMIFS(Deployments[failed?],Deployments[Prod],"&gt;="&amp;L$1,Deployments[Prod],"&lt;"&amp;M$1)/COUNTIFS(Deployments[Prod],"&gt;="&amp;L$1,Deployments[Prod],"&lt;"&amp;M$1),0)</f>
        <v>0</v>
      </c>
      <c r="N4" s="26" t="n">
        <f aca="false">IFERROR(SUMIFS(Deployments[failed?],Deployments[Prod],"&gt;="&amp;M$1,Deployments[Prod],"&lt;"&amp;N$1)/COUNTIFS(Deployments[Prod],"&gt;="&amp;M$1,Deployments[Prod],"&lt;"&amp;N$1),0)</f>
        <v>0</v>
      </c>
      <c r="O4" s="26" t="n">
        <f aca="false">IFERROR(SUMIFS(Deployments[failed?],Deployments[Prod],"&gt;="&amp;N$1,Deployments[Prod],"&lt;"&amp;O$1)/COUNTIFS(Deployments[Prod],"&gt;="&amp;N$1,Deployments[Prod],"&lt;"&amp;O$1),0)</f>
        <v>0</v>
      </c>
      <c r="P4" s="26" t="n">
        <f aca="false">IFERROR(SUMIFS(Deployments[failed?],Deployments[Prod],"&gt;="&amp;O$1,Deployments[Prod],"&lt;"&amp;P$1)/COUNTIFS(Deployments[Prod],"&gt;="&amp;O$1,Deployments[Prod],"&lt;"&amp;P$1),0)</f>
        <v>0</v>
      </c>
      <c r="Q4" s="26" t="n">
        <f aca="false">IFERROR(SUMIFS(Deployments[failed?],Deployments[Prod],"&gt;="&amp;P$1,Deployments[Prod],"&lt;"&amp;Q$1)/COUNTIFS(Deployments[Prod],"&gt;="&amp;P$1,Deployments[Prod],"&lt;"&amp;Q$1),0)</f>
        <v>0</v>
      </c>
      <c r="R4" s="26" t="n">
        <f aca="false">IFERROR(SUMIFS(Deployments[failed?],Deployments[Prod],"&gt;="&amp;Q$1,Deployments[Prod],"&lt;"&amp;R$1)/COUNTIFS(Deployments[Prod],"&gt;="&amp;Q$1,Deployments[Prod],"&lt;"&amp;R$1),0)</f>
        <v>0</v>
      </c>
      <c r="S4" s="26" t="n">
        <f aca="false">IFERROR(SUMIFS(Deployments[failed?],Deployments[Prod],"&gt;="&amp;R$1,Deployments[Prod],"&lt;"&amp;S$1)/COUNTIFS(Deployments[Prod],"&gt;="&amp;R$1,Deployments[Prod],"&lt;"&amp;S$1),0)</f>
        <v>0</v>
      </c>
      <c r="T4" s="26" t="n">
        <f aca="false">IFERROR(SUMIFS(Deployments[failed?],Deployments[Prod],"&gt;="&amp;S$1,Deployments[Prod],"&lt;"&amp;T$1)/COUNTIFS(Deployments[Prod],"&gt;="&amp;S$1,Deployments[Prod],"&lt;"&amp;T$1),0)</f>
        <v>0</v>
      </c>
      <c r="U4" s="26" t="n">
        <f aca="false">IFERROR(SUMIFS(Deployments[failed?],Deployments[Prod],"&gt;="&amp;T$1,Deployments[Prod],"&lt;"&amp;U$1)/COUNTIFS(Deployments[Prod],"&gt;="&amp;T$1,Deployments[Prod],"&lt;"&amp;U$1),0)</f>
        <v>0</v>
      </c>
      <c r="V4" s="26" t="n">
        <f aca="false">IFERROR(SUMIFS(Deployments[failed?],Deployments[Prod],"&gt;="&amp;U$1,Deployments[Prod],"&lt;"&amp;V$1)/COUNTIFS(Deployments[Prod],"&gt;="&amp;U$1,Deployments[Prod],"&lt;"&amp;V$1),0)</f>
        <v>0</v>
      </c>
      <c r="W4" s="26" t="n">
        <f aca="false">IFERROR(SUMIFS(Deployments[failed?],Deployments[Prod],"&gt;="&amp;V$1,Deployments[Prod],"&lt;"&amp;W$1)/COUNTIFS(Deployments[Prod],"&gt;="&amp;V$1,Deployments[Prod],"&lt;"&amp;W$1),0)</f>
        <v>0</v>
      </c>
      <c r="X4" s="26" t="n">
        <f aca="false">IFERROR(SUMIFS(Deployments[failed?],Deployments[Prod],"&gt;="&amp;W$1,Deployments[Prod],"&lt;"&amp;X$1)/COUNTIFS(Deployments[Prod],"&gt;="&amp;W$1,Deployments[Prod],"&lt;"&amp;X$1),0)</f>
        <v>0</v>
      </c>
      <c r="Y4" s="26" t="n">
        <f aca="false">IFERROR(SUMIFS(Deployments[failed?],Deployments[Prod],"&gt;="&amp;X$1,Deployments[Prod],"&lt;"&amp;Y$1)/COUNTIFS(Deployments[Prod],"&gt;="&amp;X$1,Deployments[Prod],"&lt;"&amp;Y$1),0)</f>
        <v>0</v>
      </c>
      <c r="Z4" s="26" t="n">
        <f aca="false">IFERROR(SUMIFS(Deployments[failed?],Deployments[Prod],"&gt;="&amp;Y$1,Deployments[Prod],"&lt;"&amp;Z$1)/COUNTIFS(Deployments[Prod],"&gt;="&amp;Y$1,Deployments[Prod],"&lt;"&amp;Z$1),0)</f>
        <v>0</v>
      </c>
      <c r="AA4" s="26" t="n">
        <f aca="false">IFERROR(SUMIFS(Deployments[failed?],Deployments[Prod],"&gt;="&amp;Z$1,Deployments[Prod],"&lt;"&amp;AA$1)/COUNTIFS(Deployments[Prod],"&gt;="&amp;Z$1,Deployments[Prod],"&lt;"&amp;AA$1),0)</f>
        <v>0</v>
      </c>
      <c r="AB4" s="26" t="n">
        <f aca="false">IFERROR(SUMIFS(Deployments[failed?],Deployments[Prod],"&gt;="&amp;AA$1,Deployments[Prod],"&lt;"&amp;AB$1)/COUNTIFS(Deployments[Prod],"&gt;="&amp;AA$1,Deployments[Prod],"&lt;"&amp;AB$1),0)</f>
        <v>0</v>
      </c>
      <c r="AC4" s="26" t="n">
        <f aca="false">IFERROR(SUMIFS(Deployments[failed?],Deployments[Prod],"&gt;="&amp;AB$1,Deployments[Prod],"&lt;"&amp;AC$1)/COUNTIFS(Deployments[Prod],"&gt;="&amp;AB$1,Deployments[Prod],"&lt;"&amp;AC$1),0)</f>
        <v>0</v>
      </c>
      <c r="AD4" s="26" t="n">
        <f aca="false">IFERROR(SUMIFS(Deployments[failed?],Deployments[Prod],"&gt;="&amp;AC$1,Deployments[Prod],"&lt;"&amp;AD$1)/COUNTIFS(Deployments[Prod],"&gt;="&amp;AC$1,Deployments[Prod],"&lt;"&amp;AD$1),0)</f>
        <v>0</v>
      </c>
      <c r="AE4" s="26" t="n">
        <f aca="false">IFERROR(SUMIFS(Deployments[failed?],Deployments[Prod],"&gt;="&amp;AD$1,Deployments[Prod],"&lt;"&amp;AE$1)/COUNTIFS(Deployments[Prod],"&gt;="&amp;AD$1,Deployments[Prod],"&lt;"&amp;AE$1),0)</f>
        <v>0</v>
      </c>
      <c r="AF4" s="26" t="n">
        <f aca="false">IFERROR(SUMIFS(Deployments[failed?],Deployments[Prod],"&gt;="&amp;AE$1,Deployments[Prod],"&lt;"&amp;AF$1)/COUNTIFS(Deployments[Prod],"&gt;="&amp;AE$1,Deployments[Prod],"&lt;"&amp;AF$1),0)</f>
        <v>0</v>
      </c>
    </row>
    <row r="5" s="24" customFormat="true" ht="15" hidden="false" customHeight="true" outlineLevel="0" collapsed="false">
      <c r="A5" s="15" t="s">
        <v>16</v>
      </c>
      <c r="B5" s="15"/>
      <c r="C5" s="15" t="n">
        <f aca="false">AVERAGE(Commits[DaysToRelease])</f>
        <v>0.43</v>
      </c>
      <c r="D5" s="24" t="s">
        <v>17</v>
      </c>
      <c r="E5" s="27" t="n">
        <f aca="false">IFERROR(AVERAGEIFS(Commits[DaysToRelease], Commits[DateCommit], "&gt;=" &amp; D$1, Commits[DateCommit], "&lt;" &amp; E$1), 0)</f>
        <v>0.4</v>
      </c>
      <c r="F5" s="27" t="n">
        <f aca="false">IFERROR(AVERAGEIFS(Commits[DaysToRelease], Commits[DateCommit], "&gt;=" &amp; E$1, Commits[DateCommit], "&lt;" &amp; F$1), 0)</f>
        <v>0.458823529411765</v>
      </c>
      <c r="G5" s="27" t="n">
        <f aca="false">IFERROR(AVERAGEIFS(Commits[DaysToRelease], Commits[DateCommit], "&gt;=" &amp; F$1, Commits[DateCommit], "&lt;" &amp; G$1), 0)</f>
        <v>0.392857142857143</v>
      </c>
      <c r="H5" s="27" t="n">
        <f aca="false">IFERROR(AVERAGEIFS(Commits[DaysToRelease], Commits[DateCommit], "&gt;=" &amp; G$1, Commits[DateCommit], "&lt;" &amp; H$1), 0)</f>
        <v>0</v>
      </c>
      <c r="I5" s="27" t="n">
        <f aca="false">IFERROR(AVERAGEIFS(Commits[DaysToRelease], Commits[DateCommit], "&gt;=" &amp; H$1, Commits[DateCommit], "&lt;" &amp; I$1), 0)</f>
        <v>0</v>
      </c>
      <c r="J5" s="27" t="n">
        <f aca="false">IFERROR(AVERAGEIFS(Commits[DaysToRelease], Commits[DateCommit], "&gt;=" &amp; I$1, Commits[DateCommit], "&lt;" &amp; J$1), 0)</f>
        <v>0</v>
      </c>
      <c r="K5" s="27" t="n">
        <f aca="false">IFERROR(AVERAGEIFS(Commits[DaysToRelease], Commits[DateCommit], "&gt;=" &amp; J$1, Commits[DateCommit], "&lt;" &amp; K$1), 0)</f>
        <v>0</v>
      </c>
      <c r="L5" s="27" t="n">
        <f aca="false">IFERROR(AVERAGEIFS(Commits[DaysToRelease], Commits[DateCommit], "&gt;=" &amp; K$1, Commits[DateCommit], "&lt;" &amp; L$1), 0)</f>
        <v>0</v>
      </c>
      <c r="M5" s="27" t="n">
        <f aca="false">IFERROR(AVERAGEIFS(Commits[DaysToRelease], Commits[DateCommit], "&gt;=" &amp; L$1, Commits[DateCommit], "&lt;" &amp; M$1), 0)</f>
        <v>0</v>
      </c>
      <c r="N5" s="27" t="n">
        <f aca="false">IFERROR(AVERAGEIFS(Commits[DaysToRelease], Commits[DateCommit], "&gt;=" &amp; M$1, Commits[DateCommit], "&lt;" &amp; N$1), 0)</f>
        <v>0</v>
      </c>
      <c r="O5" s="27" t="n">
        <f aca="false">IFERROR(AVERAGEIFS(Commits[DaysToRelease], Commits[DateCommit], "&gt;=" &amp; N$1, Commits[DateCommit], "&lt;" &amp; O$1), 0)</f>
        <v>0</v>
      </c>
      <c r="P5" s="27" t="n">
        <f aca="false">IFERROR(AVERAGEIFS(Commits[DaysToRelease], Commits[DateCommit], "&gt;=" &amp; O$1, Commits[DateCommit], "&lt;" &amp; P$1), 0)</f>
        <v>0</v>
      </c>
      <c r="Q5" s="27" t="n">
        <f aca="false">IFERROR(AVERAGEIFS(Commits[DaysToRelease], Commits[DateCommit], "&gt;=" &amp; P$1, Commits[DateCommit], "&lt;" &amp; Q$1), 0)</f>
        <v>0</v>
      </c>
      <c r="R5" s="27" t="n">
        <f aca="false">IFERROR(AVERAGEIFS(Commits[DaysToRelease], Commits[DateCommit], "&gt;=" &amp; Q$1, Commits[DateCommit], "&lt;" &amp; R$1), 0)</f>
        <v>0</v>
      </c>
      <c r="S5" s="27" t="n">
        <f aca="false">IFERROR(AVERAGEIFS(Commits[DaysToRelease], Commits[DateCommit], "&gt;=" &amp; R$1, Commits[DateCommit], "&lt;" &amp; S$1), 0)</f>
        <v>0</v>
      </c>
      <c r="T5" s="27" t="n">
        <f aca="false">IFERROR(AVERAGEIFS(Commits[DaysToRelease], Commits[DateCommit], "&gt;=" &amp; S$1, Commits[DateCommit], "&lt;" &amp; T$1), 0)</f>
        <v>0</v>
      </c>
      <c r="U5" s="27" t="n">
        <f aca="false">IFERROR(AVERAGEIFS(Commits[DaysToRelease], Commits[DateCommit], "&gt;=" &amp; T$1, Commits[DateCommit], "&lt;" &amp; U$1), 0)</f>
        <v>0</v>
      </c>
      <c r="V5" s="27" t="n">
        <f aca="false">IFERROR(AVERAGEIFS(Commits[DaysToRelease], Commits[DateCommit], "&gt;=" &amp; U$1, Commits[DateCommit], "&lt;" &amp; V$1), 0)</f>
        <v>0</v>
      </c>
      <c r="W5" s="27" t="n">
        <f aca="false">IFERROR(AVERAGEIFS(Commits[DaysToRelease], Commits[DateCommit], "&gt;=" &amp; V$1, Commits[DateCommit], "&lt;" &amp; W$1), 0)</f>
        <v>0</v>
      </c>
      <c r="X5" s="27" t="n">
        <f aca="false">IFERROR(AVERAGEIFS(Commits[DaysToRelease], Commits[DateCommit], "&gt;=" &amp; W$1, Commits[DateCommit], "&lt;" &amp; X$1), 0)</f>
        <v>0</v>
      </c>
      <c r="Y5" s="27" t="n">
        <f aca="false">IFERROR(AVERAGEIFS(Commits[DaysToRelease], Commits[DateCommit], "&gt;=" &amp; X$1, Commits[DateCommit], "&lt;" &amp; Y$1), 0)</f>
        <v>0</v>
      </c>
      <c r="Z5" s="27" t="n">
        <f aca="false">IFERROR(AVERAGEIFS(Commits[DaysToRelease], Commits[DateCommit], "&gt;=" &amp; Y$1, Commits[DateCommit], "&lt;" &amp; Z$1), 0)</f>
        <v>0</v>
      </c>
      <c r="AA5" s="27" t="n">
        <f aca="false">IFERROR(AVERAGEIFS(Commits[DaysToRelease], Commits[DateCommit], "&gt;=" &amp; Z$1, Commits[DateCommit], "&lt;" &amp; AA$1), 0)</f>
        <v>0</v>
      </c>
      <c r="AB5" s="27" t="n">
        <f aca="false">IFERROR(AVERAGEIFS(Commits[DaysToRelease], Commits[DateCommit], "&gt;=" &amp; AA$1, Commits[DateCommit], "&lt;" &amp; AB$1), 0)</f>
        <v>0</v>
      </c>
      <c r="AC5" s="27" t="n">
        <f aca="false">IFERROR(AVERAGEIFS(Commits[DaysToRelease], Commits[DateCommit], "&gt;=" &amp; AB$1, Commits[DateCommit], "&lt;" &amp; AC$1), 0)</f>
        <v>0</v>
      </c>
      <c r="AD5" s="27" t="n">
        <f aca="false">IFERROR(AVERAGEIFS(Commits[DaysToRelease], Commits[DateCommit], "&gt;=" &amp; AC$1, Commits[DateCommit], "&lt;" &amp; AD$1), 0)</f>
        <v>0</v>
      </c>
      <c r="AE5" s="27" t="n">
        <f aca="false">IFERROR(AVERAGEIFS(Commits[DaysToRelease], Commits[DateCommit], "&gt;=" &amp; AD$1, Commits[DateCommit], "&lt;" &amp; AE$1), 0)</f>
        <v>0</v>
      </c>
      <c r="AF5" s="27" t="n">
        <f aca="false">IFERROR(AVERAGEIFS(Commits[DaysToRelease], Commits[DateCommit], "&gt;=" &amp; AE$1, Commits[DateCommit], "&lt;" &amp; AF$1), 0)</f>
        <v>0</v>
      </c>
      <c r="XFD5" s="27" t="e">
        <f aca="false">AVERAGEIFS(Commits[DaysToRelease], Commits[DateCommit], "&gt;=" &amp; XFC$1, Commits[DateCommit], "&lt;" &amp; XFD$1)</f>
        <v>#DIV/0!</v>
      </c>
    </row>
    <row r="6" customFormat="false" ht="15" hidden="false" customHeight="true" outlineLevel="0" collapsed="false">
      <c r="A6" s="25" t="s">
        <v>18</v>
      </c>
      <c r="B6" s="25"/>
      <c r="C6" s="25" t="n">
        <f aca="false">AVERAGE(Issues[DaysToRelease])</f>
        <v>0.214285714285714</v>
      </c>
      <c r="D6" s="1" t="s">
        <v>19</v>
      </c>
      <c r="E6" s="27" t="n">
        <f aca="false">IFERROR(AVERAGEIFS(Issues[DaysToRelease], Issues[ReleaseDate], "&gt;=" &amp; D$1, Issues[ReleaseDate], "&lt;" &amp; E$1), 0)</f>
        <v>1</v>
      </c>
      <c r="F6" s="27" t="n">
        <f aca="false">IFERROR(AVERAGEIFS(Issues[DaysToRelease], Issues[ReleaseDate], "&gt;=" &amp; E$1, Issues[ReleaseDate], "&lt;" &amp; F$1), 0)</f>
        <v>0.5</v>
      </c>
      <c r="G6" s="27" t="n">
        <f aca="false">IFERROR(AVERAGEIFS(Issues[DaysToRelease], Issues[ReleaseDate], "&gt;=" &amp; F$1, Issues[ReleaseDate], "&lt;" &amp; G$1), 0)</f>
        <v>0</v>
      </c>
      <c r="H6" s="27" t="n">
        <f aca="false">IFERROR(AVERAGEIFS(Issues[DaysToRelease], Issues[ReleaseDate], "&gt;=" &amp; G$1, Issues[ReleaseDate], "&lt;" &amp; H$1), 0)</f>
        <v>0</v>
      </c>
      <c r="I6" s="27" t="n">
        <f aca="false">IFERROR(AVERAGEIFS(Issues[DaysToRelease], Issues[ReleaseDate], "&gt;=" &amp; H$1, Issues[ReleaseDate], "&lt;" &amp; I$1), 0)</f>
        <v>0</v>
      </c>
      <c r="J6" s="27" t="n">
        <f aca="false">IFERROR(AVERAGEIFS(Issues[DaysToRelease], Issues[ReleaseDate], "&gt;=" &amp; I$1, Issues[ReleaseDate], "&lt;" &amp; J$1), 0)</f>
        <v>0</v>
      </c>
      <c r="K6" s="27" t="n">
        <f aca="false">IFERROR(AVERAGEIFS(Issues[DaysToRelease], Issues[ReleaseDate], "&gt;=" &amp; J$1, Issues[ReleaseDate], "&lt;" &amp; K$1), 0)</f>
        <v>0</v>
      </c>
      <c r="L6" s="27" t="n">
        <f aca="false">IFERROR(AVERAGEIFS(Issues[DaysToRelease], Issues[ReleaseDate], "&gt;=" &amp; K$1, Issues[ReleaseDate], "&lt;" &amp; L$1), 0)</f>
        <v>0</v>
      </c>
      <c r="M6" s="27" t="n">
        <f aca="false">IFERROR(AVERAGEIFS(Issues[DaysToRelease], Issues[ReleaseDate], "&gt;=" &amp; L$1, Issues[ReleaseDate], "&lt;" &amp; M$1), 0)</f>
        <v>0</v>
      </c>
      <c r="N6" s="27" t="n">
        <f aca="false">IFERROR(AVERAGEIFS(Issues[DaysToRelease], Issues[ReleaseDate], "&gt;=" &amp; M$1, Issues[ReleaseDate], "&lt;" &amp; N$1), 0)</f>
        <v>0</v>
      </c>
      <c r="O6" s="27" t="n">
        <f aca="false">IFERROR(AVERAGEIFS(Issues[DaysToRelease], Issues[ReleaseDate], "&gt;=" &amp; N$1, Issues[ReleaseDate], "&lt;" &amp; O$1), 0)</f>
        <v>0</v>
      </c>
      <c r="P6" s="27" t="n">
        <f aca="false">IFERROR(AVERAGEIFS(Issues[DaysToRelease], Issues[ReleaseDate], "&gt;=" &amp; O$1, Issues[ReleaseDate], "&lt;" &amp; P$1), 0)</f>
        <v>0</v>
      </c>
      <c r="Q6" s="27" t="n">
        <f aca="false">IFERROR(AVERAGEIFS(Issues[DaysToRelease], Issues[ReleaseDate], "&gt;=" &amp; P$1, Issues[ReleaseDate], "&lt;" &amp; Q$1), 0)</f>
        <v>0</v>
      </c>
      <c r="R6" s="27" t="n">
        <f aca="false">IFERROR(AVERAGEIFS(Issues[DaysToRelease], Issues[ReleaseDate], "&gt;=" &amp; Q$1, Issues[ReleaseDate], "&lt;" &amp; R$1), 0)</f>
        <v>0</v>
      </c>
      <c r="S6" s="27" t="n">
        <f aca="false">IFERROR(AVERAGEIFS(Issues[DaysToRelease], Issues[ReleaseDate], "&gt;=" &amp; R$1, Issues[ReleaseDate], "&lt;" &amp; S$1), 0)</f>
        <v>0</v>
      </c>
      <c r="T6" s="27" t="n">
        <f aca="false">IFERROR(AVERAGEIFS(Issues[DaysToRelease], Issues[ReleaseDate], "&gt;=" &amp; S$1, Issues[ReleaseDate], "&lt;" &amp; T$1), 0)</f>
        <v>0</v>
      </c>
      <c r="U6" s="27" t="n">
        <f aca="false">IFERROR(AVERAGEIFS(Issues[DaysToRelease], Issues[ReleaseDate], "&gt;=" &amp; T$1, Issues[ReleaseDate], "&lt;" &amp; U$1), 0)</f>
        <v>0</v>
      </c>
      <c r="V6" s="27" t="n">
        <f aca="false">IFERROR(AVERAGEIFS(Issues[DaysToRelease], Issues[ReleaseDate], "&gt;=" &amp; U$1, Issues[ReleaseDate], "&lt;" &amp; V$1), 0)</f>
        <v>0</v>
      </c>
      <c r="W6" s="27" t="n">
        <f aca="false">IFERROR(AVERAGEIFS(Issues[DaysToRelease], Issues[ReleaseDate], "&gt;=" &amp; V$1, Issues[ReleaseDate], "&lt;" &amp; W$1), 0)</f>
        <v>0</v>
      </c>
      <c r="X6" s="27" t="n">
        <f aca="false">IFERROR(AVERAGEIFS(Issues[DaysToRelease], Issues[ReleaseDate], "&gt;=" &amp; W$1, Issues[ReleaseDate], "&lt;" &amp; X$1), 0)</f>
        <v>0</v>
      </c>
      <c r="Y6" s="27" t="n">
        <f aca="false">IFERROR(AVERAGEIFS(Issues[DaysToRelease], Issues[ReleaseDate], "&gt;=" &amp; X$1, Issues[ReleaseDate], "&lt;" &amp; Y$1), 0)</f>
        <v>0</v>
      </c>
      <c r="Z6" s="27" t="n">
        <f aca="false">IFERROR(AVERAGEIFS(Issues[DaysToRelease], Issues[ReleaseDate], "&gt;=" &amp; Y$1, Issues[ReleaseDate], "&lt;" &amp; Z$1), 0)</f>
        <v>0</v>
      </c>
      <c r="AA6" s="27" t="n">
        <f aca="false">IFERROR(AVERAGEIFS(Issues[DaysToRelease], Issues[ReleaseDate], "&gt;=" &amp; Z$1, Issues[ReleaseDate], "&lt;" &amp; AA$1), 0)</f>
        <v>0</v>
      </c>
      <c r="AB6" s="27" t="n">
        <f aca="false">IFERROR(AVERAGEIFS(Issues[DaysToRelease], Issues[ReleaseDate], "&gt;=" &amp; AA$1, Issues[ReleaseDate], "&lt;" &amp; AB$1), 0)</f>
        <v>0</v>
      </c>
      <c r="AC6" s="27" t="n">
        <f aca="false">IFERROR(AVERAGEIFS(Issues[DaysToRelease], Issues[ReleaseDate], "&gt;=" &amp; AB$1, Issues[ReleaseDate], "&lt;" &amp; AC$1), 0)</f>
        <v>0</v>
      </c>
      <c r="AD6" s="27" t="n">
        <f aca="false">IFERROR(AVERAGEIFS(Issues[DaysToRelease], Issues[ReleaseDate], "&gt;=" &amp; AC$1, Issues[ReleaseDate], "&lt;" &amp; AD$1), 0)</f>
        <v>0</v>
      </c>
      <c r="AE6" s="27" t="n">
        <f aca="false">IFERROR(AVERAGEIFS(Issues[DaysToRelease], Issues[ReleaseDate], "&gt;=" &amp; AD$1, Issues[ReleaseDate], "&lt;" &amp; AE$1), 0)</f>
        <v>0</v>
      </c>
      <c r="AF6" s="27" t="n">
        <f aca="false">IFERROR(AVERAGEIFS(Issues[DaysToRelease], Issues[ReleaseDate], "&gt;=" &amp; AE$1, Issues[ReleaseDate], "&lt;" &amp; AF$1), 0)</f>
        <v>0</v>
      </c>
    </row>
    <row r="7" customFormat="false" ht="15" hidden="false" customHeight="true" outlineLevel="0" collapsed="false">
      <c r="A7" s="25"/>
      <c r="B7" s="25"/>
      <c r="C7" s="25"/>
    </row>
    <row r="8" customFormat="false" ht="15" hidden="false" customHeight="true" outlineLevel="0" collapsed="false">
      <c r="A8" s="25"/>
      <c r="B8" s="25"/>
      <c r="C8" s="25"/>
    </row>
    <row r="9" customFormat="false" ht="15" hidden="false" customHeight="true" outlineLevel="0" collapsed="false">
      <c r="A9" s="25"/>
      <c r="B9" s="25"/>
      <c r="C9" s="25"/>
    </row>
    <row r="10" customFormat="false" ht="15" hidden="false" customHeight="true" outlineLevel="0" collapsed="false">
      <c r="A10" s="25"/>
      <c r="B10" s="25"/>
      <c r="C10" s="25"/>
    </row>
    <row r="11" customFormat="false" ht="15" hidden="false" customHeight="true" outlineLevel="0" collapsed="false">
      <c r="A11" s="25"/>
      <c r="B11" s="25"/>
      <c r="C11" s="25"/>
    </row>
    <row r="12" customFormat="false" ht="15" hidden="false" customHeight="true" outlineLevel="0" collapsed="false">
      <c r="D12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2" activeCellId="0" sqref="M12"/>
    </sheetView>
  </sheetViews>
  <sheetFormatPr defaultColWidth="8.59765625" defaultRowHeight="13.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.3"/>
    <col collapsed="false" customWidth="true" hidden="false" outlineLevel="0" max="3" min="3" style="1" width="27.7"/>
    <col collapsed="false" customWidth="true" hidden="false" outlineLevel="0" max="4" min="4" style="1" width="22.3"/>
    <col collapsed="false" customWidth="true" hidden="false" outlineLevel="0" max="5" min="5" style="1" width="13.86"/>
    <col collapsed="false" customWidth="true" hidden="false" outlineLevel="0" max="6" min="6" style="1" width="9.3"/>
    <col collapsed="false" customWidth="true" hidden="false" outlineLevel="0" max="7" min="7" style="1" width="10.43"/>
    <col collapsed="false" customWidth="true" hidden="false" outlineLevel="0" max="9" min="8" style="1" width="9.3"/>
    <col collapsed="false" customWidth="true" hidden="false" outlineLevel="0" max="10" min="10" style="1" width="11.86"/>
    <col collapsed="false" customWidth="true" hidden="false" outlineLevel="0" max="13" min="11" style="1" width="11.57"/>
  </cols>
  <sheetData>
    <row r="1" s="23" customFormat="true" ht="13.5" hidden="false" customHeight="true" outlineLevel="0" collapsed="false">
      <c r="A1" s="22"/>
      <c r="B1" s="22" t="s">
        <v>21</v>
      </c>
      <c r="D1" s="23" t="s">
        <v>22</v>
      </c>
      <c r="E1" s="23" t="n">
        <v>45627</v>
      </c>
      <c r="F1" s="23" t="n">
        <v>45658</v>
      </c>
      <c r="G1" s="23" t="n">
        <v>45689</v>
      </c>
      <c r="H1" s="23" t="n">
        <v>45717</v>
      </c>
      <c r="I1" s="23" t="n">
        <v>45748</v>
      </c>
      <c r="J1" s="23" t="n">
        <v>45778</v>
      </c>
      <c r="K1" s="23" t="n">
        <v>45809</v>
      </c>
      <c r="L1" s="23" t="n">
        <v>45839</v>
      </c>
      <c r="M1" s="23" t="n">
        <v>45870</v>
      </c>
      <c r="N1" s="23" t="n">
        <v>45901</v>
      </c>
      <c r="O1" s="28" t="n">
        <v>45931</v>
      </c>
      <c r="P1" s="28" t="n">
        <v>45962</v>
      </c>
      <c r="Q1" s="28" t="n">
        <v>45992</v>
      </c>
      <c r="R1" s="28" t="n">
        <v>46023</v>
      </c>
      <c r="S1" s="28" t="n">
        <v>46054</v>
      </c>
      <c r="T1" s="28" t="n">
        <v>46082</v>
      </c>
      <c r="U1" s="28" t="n">
        <v>46113</v>
      </c>
      <c r="V1" s="23" t="n">
        <v>46143</v>
      </c>
      <c r="W1" s="23" t="n">
        <v>46174</v>
      </c>
      <c r="X1" s="23" t="n">
        <v>46204</v>
      </c>
      <c r="Y1" s="23" t="n">
        <v>46235</v>
      </c>
      <c r="Z1" s="23" t="n">
        <v>46266</v>
      </c>
      <c r="AA1" s="23" t="n">
        <v>46296</v>
      </c>
      <c r="AB1" s="23" t="n">
        <v>46327</v>
      </c>
      <c r="AC1" s="23" t="n">
        <v>46357</v>
      </c>
      <c r="AD1" s="23" t="n">
        <v>46388</v>
      </c>
      <c r="AE1" s="23" t="n">
        <v>46419</v>
      </c>
      <c r="AF1" s="23" t="n">
        <v>46447</v>
      </c>
    </row>
    <row r="2" s="24" customFormat="true" ht="13.5" hidden="false" customHeight="true" outlineLevel="0" collapsed="false">
      <c r="A2" s="15" t="s">
        <v>11</v>
      </c>
      <c r="B2" s="15" t="n">
        <f aca="false">(MAX(Deployments[Acc])-MIN(Deployments[Acc]))/COUNTA(Deployments[Acc])</f>
        <v>0.346153846153846</v>
      </c>
      <c r="C2" s="24" t="s">
        <v>12</v>
      </c>
      <c r="D2" s="24" t="n">
        <f aca="false">SUM(E2:AF2)/((AF1-E1)/30)</f>
        <v>4.9390243902439</v>
      </c>
      <c r="E2" s="24" t="n">
        <f aca="false">COUNTIFS(Deployments[Acc],"&gt;="&amp;C$1,Deployments[Acc],"&lt;"&amp;E$1)</f>
        <v>0</v>
      </c>
      <c r="F2" s="24" t="n">
        <f aca="false">COUNTIFS(Deployments[Acc],"&gt;="&amp;E$1,Deployments[Acc],"&lt;"&amp;F$1)</f>
        <v>0</v>
      </c>
      <c r="G2" s="24" t="n">
        <f aca="false">COUNTIFS(Deployments[Acc],"&gt;="&amp;F$1,Deployments[Acc],"&lt;"&amp;G$1)</f>
        <v>0</v>
      </c>
      <c r="H2" s="24" t="n">
        <f aca="false">COUNTIFS(Deployments[Acc],"&gt;="&amp;G$1,Deployments[Acc],"&lt;"&amp;H$1)</f>
        <v>0</v>
      </c>
      <c r="I2" s="24" t="n">
        <f aca="false">COUNTIFS(Deployments[Acc],"&gt;="&amp;H$1,Deployments[Acc],"&lt;"&amp;I$1)</f>
        <v>0</v>
      </c>
      <c r="J2" s="24" t="n">
        <f aca="false">COUNTIFS(Deployments[Acc],"&gt;="&amp;I$1,Deployments[Acc],"&lt;"&amp;J$1)</f>
        <v>0</v>
      </c>
      <c r="K2" s="24" t="n">
        <f aca="false">COUNTIFS(Deployments[Acc],"&gt;="&amp;J$1,Deployments[Acc],"&lt;"&amp;K$1)</f>
        <v>0</v>
      </c>
      <c r="L2" s="24" t="n">
        <f aca="false">COUNTIFS(Deployments[Acc],"&gt;="&amp;K$1,Deployments[Acc],"&lt;"&amp;L$1)</f>
        <v>0</v>
      </c>
      <c r="M2" s="24" t="n">
        <f aca="false">COUNTIFS(Deployments[Acc],"&gt;="&amp;L$1,Deployments[Acc],"&lt;"&amp;M$1)</f>
        <v>0</v>
      </c>
      <c r="N2" s="24" t="n">
        <f aca="false">COUNTIFS(Deployments[Acc],"&gt;="&amp;M$1,Deployments[Acc],"&lt;"&amp;N$1)</f>
        <v>0</v>
      </c>
      <c r="O2" s="29" t="n">
        <f aca="false">COUNTIFS(Deployments[Acc],"&gt;="&amp;N$1,Deployments[Acc],"&lt;"&amp;O$1)</f>
        <v>88</v>
      </c>
      <c r="P2" s="29" t="n">
        <v>20</v>
      </c>
      <c r="Q2" s="29" t="n">
        <v>7</v>
      </c>
      <c r="R2" s="29" t="n">
        <v>5</v>
      </c>
      <c r="S2" s="29" t="n">
        <v>5</v>
      </c>
      <c r="T2" s="29" t="n">
        <v>10</v>
      </c>
      <c r="U2" s="29" t="n">
        <f aca="false">COUNTIFS(Deployments[Acc],"&gt;="&amp;T$1,Deployments[Acc],"&lt;"&amp;U$1)</f>
        <v>0</v>
      </c>
      <c r="V2" s="24" t="n">
        <f aca="false">COUNTIFS(Deployments[Acc],"&gt;="&amp;U$1,Deployments[Acc],"&lt;"&amp;V$1)</f>
        <v>0</v>
      </c>
      <c r="W2" s="24" t="n">
        <f aca="false">COUNTIFS(Deployments[Acc],"&gt;="&amp;V$1,Deployments[Acc],"&lt;"&amp;W$1)</f>
        <v>0</v>
      </c>
      <c r="X2" s="24" t="n">
        <f aca="false">COUNTIFS(Deployments[Acc],"&gt;="&amp;W$1,Deployments[Acc],"&lt;"&amp;X$1)</f>
        <v>0</v>
      </c>
      <c r="Y2" s="24" t="n">
        <f aca="false">COUNTIFS(Deployments[Acc],"&gt;="&amp;X$1,Deployments[Acc],"&lt;"&amp;Y$1)</f>
        <v>0</v>
      </c>
      <c r="Z2" s="24" t="n">
        <f aca="false">COUNTIFS(Deployments[Acc],"&gt;="&amp;Y$1,Deployments[Acc],"&lt;"&amp;Z$1)</f>
        <v>0</v>
      </c>
      <c r="AA2" s="24" t="n">
        <f aca="false">COUNTIFS(Deployments[Acc],"&gt;="&amp;Z$1,Deployments[Acc],"&lt;"&amp;AA$1)</f>
        <v>0</v>
      </c>
      <c r="AB2" s="24" t="n">
        <f aca="false">COUNTIFS(Deployments[Acc],"&gt;="&amp;AA$1,Deployments[Acc],"&lt;"&amp;AB$1)</f>
        <v>0</v>
      </c>
      <c r="AC2" s="24" t="n">
        <f aca="false">COUNTIFS(Deployments[Acc],"&gt;="&amp;AB$1,Deployments[Acc],"&lt;"&amp;AC$1)</f>
        <v>0</v>
      </c>
      <c r="AD2" s="24" t="n">
        <f aca="false">COUNTIFS(Deployments[Acc],"&gt;="&amp;AC$1,Deployments[Acc],"&lt;"&amp;AD$1)</f>
        <v>0</v>
      </c>
      <c r="AE2" s="24" t="n">
        <f aca="false">COUNTIFS(Deployments[Acc],"&gt;="&amp;AD$1,Deployments[Acc],"&lt;"&amp;AE$1)</f>
        <v>0</v>
      </c>
      <c r="AF2" s="24" t="n">
        <f aca="false">COUNTIFS(Deployments[Acc],"&gt;="&amp;AE$1,Deployments[Acc],"&lt;"&amp;AF$1)</f>
        <v>0</v>
      </c>
    </row>
    <row r="3" customFormat="false" ht="13.5" hidden="false" customHeight="true" outlineLevel="0" collapsed="false">
      <c r="A3" s="25" t="s">
        <v>13</v>
      </c>
      <c r="B3" s="15" t="n">
        <f aca="false">(MAX(Deployments[Prod])-MIN(Deployments[Prod]))/COUNTA(Deployments[Prod])</f>
        <v>0.346153846153846</v>
      </c>
      <c r="C3" s="24" t="s">
        <v>12</v>
      </c>
      <c r="D3" s="24" t="n">
        <f aca="false">SUM(E3:AF3)/(($AF$1-$E$1)/30)</f>
        <v>5.1219512195122</v>
      </c>
      <c r="E3" s="1" t="n">
        <f aca="false">COUNTIFS(Deployments[Prod],"&gt;="&amp;C$1,Deployments[Prod],"&lt;"&amp;E$1)</f>
        <v>0</v>
      </c>
      <c r="F3" s="1" t="n">
        <f aca="false">COUNTIFS(Deployments[Prod],"&gt;="&amp;E$1,Deployments[Prod],"&lt;"&amp;F$1)</f>
        <v>0</v>
      </c>
      <c r="G3" s="1" t="n">
        <f aca="false">COUNTIFS(Deployments[Prod],"&gt;="&amp;F$1,Deployments[Prod],"&lt;"&amp;G$1)</f>
        <v>0</v>
      </c>
      <c r="H3" s="1" t="n">
        <f aca="false">COUNTIFS(Deployments[Prod],"&gt;="&amp;G$1,Deployments[Prod],"&lt;"&amp;H$1)</f>
        <v>0</v>
      </c>
      <c r="I3" s="1" t="n">
        <f aca="false">COUNTIFS(Deployments[Prod],"&gt;="&amp;H$1,Deployments[Prod],"&lt;"&amp;I$1)</f>
        <v>0</v>
      </c>
      <c r="J3" s="1" t="n">
        <f aca="false">COUNTIFS(Deployments[Prod],"&gt;="&amp;I$1,Deployments[Prod],"&lt;"&amp;J$1)</f>
        <v>0</v>
      </c>
      <c r="K3" s="1" t="n">
        <f aca="false">COUNTIFS(Deployments[Prod],"&gt;="&amp;J$1,Deployments[Prod],"&lt;"&amp;K$1)</f>
        <v>0</v>
      </c>
      <c r="L3" s="1" t="n">
        <f aca="false">COUNTIFS(Deployments[Prod],"&gt;="&amp;K$1,Deployments[Prod],"&lt;"&amp;L$1)</f>
        <v>0</v>
      </c>
      <c r="M3" s="1" t="n">
        <f aca="false">COUNTIFS(Deployments[Prod],"&gt;="&amp;L$1,Deployments[Prod],"&lt;"&amp;M$1)</f>
        <v>0</v>
      </c>
      <c r="N3" s="1" t="n">
        <f aca="false">COUNTIFS(Deployments[Prod],"&gt;="&amp;M$1,Deployments[Prod],"&lt;"&amp;N$1)</f>
        <v>0</v>
      </c>
      <c r="O3" s="30" t="n">
        <f aca="false">COUNTIFS(Deployments[Prod],"&gt;="&amp;N$1,Deployments[Prod],"&lt;"&amp;O$1)</f>
        <v>88</v>
      </c>
      <c r="P3" s="30" t="n">
        <v>22</v>
      </c>
      <c r="Q3" s="30" t="n">
        <v>10</v>
      </c>
      <c r="R3" s="30" t="n">
        <v>5</v>
      </c>
      <c r="S3" s="30" t="n">
        <v>5</v>
      </c>
      <c r="T3" s="30" t="n">
        <v>10</v>
      </c>
      <c r="U3" s="30" t="n">
        <f aca="false">COUNTIFS(Deployments[Prod],"&gt;="&amp;T$1,Deployments[Prod],"&lt;"&amp;U$1)</f>
        <v>0</v>
      </c>
      <c r="V3" s="1" t="n">
        <f aca="false">COUNTIFS(Deployments[Prod],"&gt;="&amp;U$1,Deployments[Prod],"&lt;"&amp;V$1)</f>
        <v>0</v>
      </c>
      <c r="W3" s="1" t="n">
        <f aca="false">COUNTIFS(Deployments[Prod],"&gt;="&amp;V$1,Deployments[Prod],"&lt;"&amp;W$1)</f>
        <v>0</v>
      </c>
      <c r="X3" s="1" t="n">
        <f aca="false">COUNTIFS(Deployments[Prod],"&gt;="&amp;W$1,Deployments[Prod],"&lt;"&amp;X$1)</f>
        <v>0</v>
      </c>
      <c r="Y3" s="1" t="n">
        <f aca="false">COUNTIFS(Deployments[Prod],"&gt;="&amp;X$1,Deployments[Prod],"&lt;"&amp;Y$1)</f>
        <v>0</v>
      </c>
      <c r="Z3" s="1" t="n">
        <f aca="false">COUNTIFS(Deployments[Prod],"&gt;="&amp;Y$1,Deployments[Prod],"&lt;"&amp;Z$1)</f>
        <v>0</v>
      </c>
      <c r="AA3" s="1" t="n">
        <f aca="false">COUNTIFS(Deployments[Prod],"&gt;="&amp;Z$1,Deployments[Prod],"&lt;"&amp;AA$1)</f>
        <v>0</v>
      </c>
      <c r="AB3" s="1" t="n">
        <f aca="false">COUNTIFS(Deployments[Prod],"&gt;="&amp;AA$1,Deployments[Prod],"&lt;"&amp;AB$1)</f>
        <v>0</v>
      </c>
      <c r="AC3" s="1" t="n">
        <f aca="false">COUNTIFS(Deployments[Prod],"&gt;="&amp;AB$1,Deployments[Prod],"&lt;"&amp;AC$1)</f>
        <v>0</v>
      </c>
      <c r="AD3" s="1" t="n">
        <f aca="false">COUNTIFS(Deployments[Prod],"&gt;="&amp;AC$1,Deployments[Prod],"&lt;"&amp;AD$1)</f>
        <v>0</v>
      </c>
      <c r="AE3" s="1" t="n">
        <f aca="false">COUNTIFS(Deployments[Prod],"&gt;="&amp;AD$1,Deployments[Prod],"&lt;"&amp;AE$1)</f>
        <v>0</v>
      </c>
      <c r="AF3" s="1" t="n">
        <f aca="false">COUNTIFS(Deployments[Prod],"&gt;="&amp;AE$1,Deployments[Prod],"&lt;"&amp;AF$1)</f>
        <v>0</v>
      </c>
    </row>
    <row r="4" s="1" customFormat="true" ht="13.5" hidden="false" customHeight="true" outlineLevel="0" collapsed="false">
      <c r="A4" s="25" t="s">
        <v>14</v>
      </c>
      <c r="B4" s="25" t="n">
        <f aca="false">SUM(Deployments[failed?])/COUNT(Deployments[failed?])</f>
        <v>0.0269230769230769</v>
      </c>
      <c r="C4" s="1" t="s">
        <v>15</v>
      </c>
      <c r="D4" s="26" t="n">
        <f aca="false">IFERROR(D39/D38,0)</f>
        <v>0.000393205410506449</v>
      </c>
      <c r="E4" s="26" t="n">
        <f aca="false">IFERROR(SUMIFS(Deployments[failed?],Deployments[Prod],"&gt;="&amp;C$1,Deployments[Prod],"&lt;"&amp;E$1)/COUNTIFS(Deployments[Prod],"&gt;="&amp;C$1,Deployments[Prod],"&lt;"&amp;E$1),0)</f>
        <v>0</v>
      </c>
      <c r="F4" s="26" t="n">
        <f aca="false">IFERROR(SUMIFS(Deployments[failed?],Deployments[Prod],"&gt;="&amp;E$1,Deployments[Prod],"&lt;"&amp;F$1)/COUNTIFS(Deployments[Prod],"&gt;="&amp;E$1,Deployments[Prod],"&lt;"&amp;F$1),0)</f>
        <v>0</v>
      </c>
      <c r="G4" s="26" t="n">
        <f aca="false">IFERROR(SUMIFS(Deployments[failed?],Deployments[Prod],"&gt;="&amp;F$1,Deployments[Prod],"&lt;"&amp;G$1)/COUNTIFS(Deployments[Prod],"&gt;="&amp;F$1,Deployments[Prod],"&lt;"&amp;G$1),0)</f>
        <v>0</v>
      </c>
      <c r="H4" s="26" t="n">
        <f aca="false">IFERROR(SUMIFS(Deployments[failed?],Deployments[Prod],"&gt;="&amp;G$1,Deployments[Prod],"&lt;"&amp;H$1)/COUNTIFS(Deployments[Prod],"&gt;="&amp;G$1,Deployments[Prod],"&lt;"&amp;H$1),0)</f>
        <v>0</v>
      </c>
      <c r="I4" s="26" t="n">
        <f aca="false">IFERROR(SUMIFS(Deployments[failed?],Deployments[Prod],"&gt;="&amp;H$1,Deployments[Prod],"&lt;"&amp;I$1)/COUNTIFS(Deployments[Prod],"&gt;="&amp;H$1,Deployments[Prod],"&lt;"&amp;I$1),0)</f>
        <v>0</v>
      </c>
      <c r="J4" s="26" t="n">
        <f aca="false">IFERROR(SUMIFS(Deployments[failed?],Deployments[Prod],"&gt;="&amp;I$1,Deployments[Prod],"&lt;"&amp;J$1)/COUNTIFS(Deployments[Prod],"&gt;="&amp;I$1,Deployments[Prod],"&lt;"&amp;J$1),0)</f>
        <v>0</v>
      </c>
      <c r="K4" s="26" t="n">
        <f aca="false">IFERROR(SUMIFS(Deployments[failed?],Deployments[Prod],"&gt;="&amp;J$1,Deployments[Prod],"&lt;"&amp;K$1)/COUNTIFS(Deployments[Prod],"&gt;="&amp;J$1,Deployments[Prod],"&lt;"&amp;K$1),0)</f>
        <v>0</v>
      </c>
      <c r="L4" s="26" t="n">
        <f aca="false">IFERROR(SUMIFS(Deployments[failed?],Deployments[Prod],"&gt;="&amp;K$1,Deployments[Prod],"&lt;"&amp;L$1)/COUNTIFS(Deployments[Prod],"&gt;="&amp;K$1,Deployments[Prod],"&lt;"&amp;L$1),0)</f>
        <v>0</v>
      </c>
      <c r="M4" s="26" t="n">
        <f aca="false">IFERROR(SUMIFS(Deployments[failed?],Deployments[Prod],"&gt;="&amp;L$1,Deployments[Prod],"&lt;"&amp;M$1)/COUNTIFS(Deployments[Prod],"&gt;="&amp;L$1,Deployments[Prod],"&lt;"&amp;M$1),0)</f>
        <v>0</v>
      </c>
      <c r="N4" s="26" t="n">
        <f aca="false">IFERROR(SUMIFS(Deployments[failed?],Deployments[Prod],"&gt;="&amp;M$1,Deployments[Prod],"&lt;"&amp;N$1)/COUNTIFS(Deployments[Prod],"&gt;="&amp;M$1,Deployments[Prod],"&lt;"&amp;N$1),0)</f>
        <v>0</v>
      </c>
      <c r="O4" s="31" t="n">
        <f aca="false">IFERROR(SUMIFS(Deployments[failed?],Deployments[Prod],"&gt;="&amp;N$1,Deployments[Prod],"&lt;"&amp;O$1)/COUNTIFS(Deployments[Prod],"&gt;="&amp;N$1,Deployments[Prod],"&lt;"&amp;O$1),0)</f>
        <v>0.0227272727272727</v>
      </c>
      <c r="P4" s="31" t="n">
        <v>0</v>
      </c>
      <c r="Q4" s="31" t="n">
        <v>0.3</v>
      </c>
      <c r="R4" s="31" t="n">
        <v>0.1</v>
      </c>
      <c r="S4" s="31" t="n">
        <v>0.5</v>
      </c>
      <c r="T4" s="31" t="n">
        <f aca="false">IFERROR(SUMIFS(Deployments[failed?],Deployments[Prod],"&gt;="&amp;S$1,Deployments[Prod],"&lt;"&amp;T$1)/COUNTIFS(Deployments[Prod],"&gt;="&amp;S$1,Deployments[Prod],"&lt;"&amp;T$1),0)</f>
        <v>0.05</v>
      </c>
      <c r="U4" s="31" t="n">
        <f aca="false">IFERROR(SUMIFS(Deployments[failed?],Deployments[Prod],"&gt;="&amp;T$1,Deployments[Prod],"&lt;"&amp;U$1)/COUNTIFS(Deployments[Prod],"&gt;="&amp;T$1,Deployments[Prod],"&lt;"&amp;U$1),0)</f>
        <v>0</v>
      </c>
      <c r="V4" s="26" t="n">
        <f aca="false">IFERROR(SUMIFS(Deployments[failed?],Deployments[Prod],"&gt;="&amp;U$1,Deployments[Prod],"&lt;"&amp;V$1)/COUNTIFS(Deployments[Prod],"&gt;="&amp;U$1,Deployments[Prod],"&lt;"&amp;V$1),0)</f>
        <v>0</v>
      </c>
      <c r="W4" s="26" t="n">
        <f aca="false">IFERROR(SUMIFS(Deployments[failed?],Deployments[Prod],"&gt;="&amp;V$1,Deployments[Prod],"&lt;"&amp;W$1)/COUNTIFS(Deployments[Prod],"&gt;="&amp;V$1,Deployments[Prod],"&lt;"&amp;W$1),0)</f>
        <v>0</v>
      </c>
      <c r="X4" s="26" t="n">
        <f aca="false">IFERROR(SUMIFS(Deployments[failed?],Deployments[Prod],"&gt;="&amp;W$1,Deployments[Prod],"&lt;"&amp;X$1)/COUNTIFS(Deployments[Prod],"&gt;="&amp;W$1,Deployments[Prod],"&lt;"&amp;X$1),0)</f>
        <v>0</v>
      </c>
      <c r="Y4" s="26" t="n">
        <f aca="false">IFERROR(SUMIFS(Deployments[failed?],Deployments[Prod],"&gt;="&amp;X$1,Deployments[Prod],"&lt;"&amp;Y$1)/COUNTIFS(Deployments[Prod],"&gt;="&amp;X$1,Deployments[Prod],"&lt;"&amp;Y$1),0)</f>
        <v>0</v>
      </c>
      <c r="Z4" s="26" t="n">
        <f aca="false">IFERROR(SUMIFS(Deployments[failed?],Deployments[Prod],"&gt;="&amp;Y$1,Deployments[Prod],"&lt;"&amp;Z$1)/COUNTIFS(Deployments[Prod],"&gt;="&amp;Y$1,Deployments[Prod],"&lt;"&amp;Z$1),0)</f>
        <v>0</v>
      </c>
      <c r="AA4" s="26" t="n">
        <f aca="false">IFERROR(SUMIFS(Deployments[failed?],Deployments[Prod],"&gt;="&amp;Z$1,Deployments[Prod],"&lt;"&amp;AA$1)/COUNTIFS(Deployments[Prod],"&gt;="&amp;Z$1,Deployments[Prod],"&lt;"&amp;AA$1),0)</f>
        <v>0</v>
      </c>
      <c r="AB4" s="26" t="n">
        <f aca="false">IFERROR(SUMIFS(Deployments[failed?],Deployments[Prod],"&gt;="&amp;AA$1,Deployments[Prod],"&lt;"&amp;AB$1)/COUNTIFS(Deployments[Prod],"&gt;="&amp;AA$1,Deployments[Prod],"&lt;"&amp;AB$1),0)</f>
        <v>0</v>
      </c>
      <c r="AC4" s="26" t="n">
        <f aca="false">IFERROR(SUMIFS(Deployments[failed?],Deployments[Prod],"&gt;="&amp;AB$1,Deployments[Prod],"&lt;"&amp;AC$1)/COUNTIFS(Deployments[Prod],"&gt;="&amp;AB$1,Deployments[Prod],"&lt;"&amp;AC$1),0)</f>
        <v>0</v>
      </c>
      <c r="AD4" s="26" t="n">
        <f aca="false">IFERROR(SUMIFS(Deployments[failed?],Deployments[Prod],"&gt;="&amp;AC$1,Deployments[Prod],"&lt;"&amp;AD$1)/COUNTIFS(Deployments[Prod],"&gt;="&amp;AC$1,Deployments[Prod],"&lt;"&amp;AD$1),0)</f>
        <v>0</v>
      </c>
      <c r="AE4" s="26" t="n">
        <f aca="false">IFERROR(SUMIFS(Deployments[failed?],Deployments[Prod],"&gt;="&amp;AD$1,Deployments[Prod],"&lt;"&amp;AE$1)/COUNTIFS(Deployments[Prod],"&gt;="&amp;AD$1,Deployments[Prod],"&lt;"&amp;AE$1),0)</f>
        <v>0</v>
      </c>
      <c r="AF4" s="26" t="n">
        <f aca="false">IFERROR(SUMIFS(Deployments[failed?],Deployments[Prod],"&gt;="&amp;AE$1,Deployments[Prod],"&lt;"&amp;AF$1)/COUNTIFS(Deployments[Prod],"&gt;="&amp;AE$1,Deployments[Prod],"&lt;"&amp;AF$1),0)</f>
        <v>0</v>
      </c>
    </row>
    <row r="5" s="24" customFormat="true" ht="13.5" hidden="false" customHeight="true" outlineLevel="0" collapsed="false">
      <c r="A5" s="15" t="s">
        <v>16</v>
      </c>
      <c r="B5" s="15" t="n">
        <f aca="false">AVERAGE(Commits[DaysToRelease])</f>
        <v>0.43</v>
      </c>
      <c r="C5" s="24" t="s">
        <v>17</v>
      </c>
      <c r="D5" s="24" t="n">
        <f aca="false">B5</f>
        <v>0.43</v>
      </c>
      <c r="E5" s="27" t="n">
        <f aca="false">IFERROR(AVERAGEIFS(Commits[DaysToRelease], Commits[DateCommit], "&gt;=" &amp; C$1, Commits[DateCommit], "&lt;" &amp; E$1), 0)</f>
        <v>0</v>
      </c>
      <c r="F5" s="27" t="n">
        <f aca="false">IFERROR(AVERAGEIFS(Commits[DaysToRelease], Commits[DateCommit], "&gt;=" &amp; E$1, Commits[DateCommit], "&lt;" &amp; F$1), 0)</f>
        <v>0</v>
      </c>
      <c r="G5" s="27" t="n">
        <f aca="false">IFERROR(AVERAGEIFS(Commits[DaysToRelease], Commits[DateCommit], "&gt;=" &amp; F$1, Commits[DateCommit], "&lt;" &amp; G$1), 0)</f>
        <v>0</v>
      </c>
      <c r="H5" s="27" t="n">
        <f aca="false">IFERROR(AVERAGEIFS(Commits[DaysToRelease], Commits[DateCommit], "&gt;=" &amp; G$1, Commits[DateCommit], "&lt;" &amp; H$1), 0)</f>
        <v>0</v>
      </c>
      <c r="I5" s="27" t="n">
        <f aca="false">IFERROR(AVERAGEIFS(Commits[DaysToRelease], Commits[DateCommit], "&gt;=" &amp; H$1, Commits[DateCommit], "&lt;" &amp; I$1), 0)</f>
        <v>0</v>
      </c>
      <c r="J5" s="27" t="n">
        <f aca="false">IFERROR(AVERAGEIFS(Commits[DaysToRelease], Commits[DateCommit], "&gt;=" &amp; I$1, Commits[DateCommit], "&lt;" &amp; J$1), 0)</f>
        <v>0</v>
      </c>
      <c r="K5" s="27" t="n">
        <f aca="false">IFERROR(AVERAGEIFS(Commits[DaysToRelease], Commits[DateCommit], "&gt;=" &amp; J$1, Commits[DateCommit], "&lt;" &amp; K$1), 0)</f>
        <v>0</v>
      </c>
      <c r="L5" s="27" t="n">
        <v>0.1</v>
      </c>
      <c r="M5" s="27" t="n">
        <f aca="false">IFERROR(AVERAGEIFS(Commits[DaysToRelease], Commits[DateCommit], "&gt;=" &amp; L$1, Commits[DateCommit], "&lt;" &amp; M$1), 0)</f>
        <v>0</v>
      </c>
      <c r="N5" s="27" t="n">
        <f aca="false">IFERROR(AVERAGEIFS(Commits[DaysToRelease], Commits[DateCommit], "&gt;=" &amp; M$1, Commits[DateCommit], "&lt;" &amp; N$1), 0)</f>
        <v>1</v>
      </c>
      <c r="O5" s="32" t="n">
        <v>100</v>
      </c>
      <c r="P5" s="32" t="n">
        <v>48</v>
      </c>
      <c r="Q5" s="32" t="n">
        <v>10</v>
      </c>
      <c r="R5" s="32" t="n">
        <v>15</v>
      </c>
      <c r="S5" s="32" t="n">
        <v>8</v>
      </c>
      <c r="T5" s="32" t="n">
        <v>9</v>
      </c>
      <c r="U5" s="32" t="n">
        <f aca="false">IFERROR(AVERAGEIFS(Commits[DaysToRelease], Commits[DateCommit], "&gt;=" &amp; T$1, Commits[DateCommit], "&lt;" &amp; U$1), 0)</f>
        <v>0</v>
      </c>
      <c r="V5" s="27" t="n">
        <f aca="false">IFERROR(AVERAGEIFS(Commits[DaysToRelease], Commits[DateCommit], "&gt;=" &amp; U$1, Commits[DateCommit], "&lt;" &amp; V$1), 0)</f>
        <v>0</v>
      </c>
      <c r="W5" s="27" t="n">
        <f aca="false">IFERROR(AVERAGEIFS(Commits[DaysToRelease], Commits[DateCommit], "&gt;=" &amp; V$1, Commits[DateCommit], "&lt;" &amp; W$1), 0)</f>
        <v>0</v>
      </c>
      <c r="X5" s="27" t="n">
        <f aca="false">IFERROR(AVERAGEIFS(Commits[DaysToRelease], Commits[DateCommit], "&gt;=" &amp; W$1, Commits[DateCommit], "&lt;" &amp; X$1), 0)</f>
        <v>0</v>
      </c>
      <c r="Y5" s="27" t="n">
        <f aca="false">IFERROR(AVERAGEIFS(Commits[DaysToRelease], Commits[DateCommit], "&gt;=" &amp; X$1, Commits[DateCommit], "&lt;" &amp; Y$1), 0)</f>
        <v>0</v>
      </c>
      <c r="Z5" s="27" t="n">
        <f aca="false">IFERROR(AVERAGEIFS(Commits[DaysToRelease], Commits[DateCommit], "&gt;=" &amp; Y$1, Commits[DateCommit], "&lt;" &amp; Z$1), 0)</f>
        <v>0</v>
      </c>
      <c r="AA5" s="27" t="n">
        <f aca="false">IFERROR(AVERAGEIFS(Commits[DaysToRelease], Commits[DateCommit], "&gt;=" &amp; Z$1, Commits[DateCommit], "&lt;" &amp; AA$1), 0)</f>
        <v>0</v>
      </c>
      <c r="AB5" s="27" t="n">
        <f aca="false">IFERROR(AVERAGEIFS(Commits[DaysToRelease], Commits[DateCommit], "&gt;=" &amp; AA$1, Commits[DateCommit], "&lt;" &amp; AB$1), 0)</f>
        <v>0</v>
      </c>
      <c r="AC5" s="27" t="n">
        <f aca="false">IFERROR(AVERAGEIFS(Commits[DaysToRelease], Commits[DateCommit], "&gt;=" &amp; AB$1, Commits[DateCommit], "&lt;" &amp; AC$1), 0)</f>
        <v>0</v>
      </c>
      <c r="AD5" s="27" t="n">
        <f aca="false">IFERROR(AVERAGEIFS(Commits[DaysToRelease], Commits[DateCommit], "&gt;=" &amp; AC$1, Commits[DateCommit], "&lt;" &amp; AD$1), 0)</f>
        <v>0</v>
      </c>
      <c r="AE5" s="27" t="n">
        <f aca="false">IFERROR(AVERAGEIFS(Commits[DaysToRelease], Commits[DateCommit], "&gt;=" &amp; AD$1, Commits[DateCommit], "&lt;" &amp; AE$1), 0)</f>
        <v>0</v>
      </c>
      <c r="AF5" s="27" t="n">
        <f aca="false">IFERROR(AVERAGEIFS(Commits[DaysToRelease], Commits[DateCommit], "&gt;=" &amp; AE$1, Commits[DateCommit], "&lt;" &amp; AF$1), 0)</f>
        <v>0</v>
      </c>
      <c r="XFD5" s="27" t="e">
        <f aca="false">AVERAGEIFS(Commits[DaysToRelease], Commits[DateCommit], "&gt;=" &amp; XFC$1, Commits[DateCommit], "&lt;" &amp; XFD$1)</f>
        <v>#DIV/0!</v>
      </c>
    </row>
    <row r="6" customFormat="false" ht="13.5" hidden="false" customHeight="true" outlineLevel="0" collapsed="false">
      <c r="A6" s="25" t="s">
        <v>18</v>
      </c>
      <c r="B6" s="25" t="n">
        <f aca="false">AVERAGE(Issues[DaysToRelease])</f>
        <v>0.214285714285714</v>
      </c>
      <c r="C6" s="1" t="s">
        <v>19</v>
      </c>
      <c r="D6" s="24" t="n">
        <f aca="false">AVERAGEIF(E6:AF6,"&gt;0")</f>
        <v>0.533333333333333</v>
      </c>
      <c r="E6" s="27" t="n">
        <f aca="false">IFERROR(AVERAGEIFS(Issues[DaysToRelease], Issues[ReleaseDate], "&gt;=" &amp; C$1, Issues[ReleaseDate], "&lt;" &amp; E$1), 0)</f>
        <v>0</v>
      </c>
      <c r="F6" s="27" t="n">
        <f aca="false">IFERROR(AVERAGEIFS(Issues[DaysToRelease], Issues[ReleaseDate], "&gt;=" &amp; E$1, Issues[ReleaseDate], "&lt;" &amp; F$1), 0)</f>
        <v>0</v>
      </c>
      <c r="G6" s="27" t="n">
        <f aca="false">IFERROR(AVERAGEIFS(Issues[DaysToRelease], Issues[ReleaseDate], "&gt;=" &amp; F$1, Issues[ReleaseDate], "&lt;" &amp; G$1), 0)</f>
        <v>0</v>
      </c>
      <c r="H6" s="27" t="n">
        <f aca="false">IFERROR(AVERAGEIFS(Issues[DaysToRelease], Issues[ReleaseDate], "&gt;=" &amp; G$1, Issues[ReleaseDate], "&lt;" &amp; H$1), 0)</f>
        <v>0</v>
      </c>
      <c r="I6" s="27" t="n">
        <f aca="false">IFERROR(AVERAGEIFS(Issues[DaysToRelease], Issues[ReleaseDate], "&gt;=" &amp; H$1, Issues[ReleaseDate], "&lt;" &amp; I$1), 0)</f>
        <v>0</v>
      </c>
      <c r="J6" s="27" t="n">
        <f aca="false">IFERROR(AVERAGEIFS(Issues[DaysToRelease], Issues[ReleaseDate], "&gt;=" &amp; I$1, Issues[ReleaseDate], "&lt;" &amp; J$1), 0)</f>
        <v>0</v>
      </c>
      <c r="K6" s="27" t="n">
        <f aca="false">IFERROR(AVERAGEIFS(Issues[DaysToRelease], Issues[ReleaseDate], "&gt;=" &amp; J$1, Issues[ReleaseDate], "&lt;" &amp; K$1), 0)</f>
        <v>0</v>
      </c>
      <c r="L6" s="27" t="n">
        <f aca="false">IFERROR(AVERAGEIFS(Issues[DaysToRelease], Issues[ReleaseDate], "&gt;=" &amp; K$1, Issues[ReleaseDate], "&lt;" &amp; L$1), 0)</f>
        <v>0</v>
      </c>
      <c r="M6" s="27" t="n">
        <f aca="false">IFERROR(AVERAGEIFS(Issues[DaysToRelease], Issues[ReleaseDate], "&gt;=" &amp; L$1, Issues[ReleaseDate], "&lt;" &amp; M$1), 0)</f>
        <v>0</v>
      </c>
      <c r="N6" s="27" t="n">
        <f aca="false">IFERROR(AVERAGEIFS(Issues[DaysToRelease], Issues[ReleaseDate], "&gt;=" &amp; M$1, Issues[ReleaseDate], "&lt;" &amp; N$1), 0)</f>
        <v>0</v>
      </c>
      <c r="O6" s="32" t="n">
        <f aca="false">IFERROR(AVERAGEIFS(Issues[DaysToRelease], Issues[ReleaseDate], "&gt;=" &amp; N$1, Issues[ReleaseDate], "&lt;" &amp; O$1), 0)</f>
        <v>1</v>
      </c>
      <c r="P6" s="32" t="n">
        <f aca="false">IFERROR(AVERAGEIFS(Issues[DaysToRelease], Issues[ReleaseDate], "&gt;=" &amp; O$1, Issues[ReleaseDate], "&lt;" &amp; P$1), 0)</f>
        <v>0.5</v>
      </c>
      <c r="Q6" s="32" t="n">
        <f aca="false">IFERROR(AVERAGEIFS(Issues[DaysToRelease], Issues[ReleaseDate], "&gt;=" &amp; P$1, Issues[ReleaseDate], "&lt;" &amp; Q$1), 0)</f>
        <v>0</v>
      </c>
      <c r="R6" s="32" t="n">
        <f aca="false">IFERROR(AVERAGEIFS(Issues[DaysToRelease], Issues[ReleaseDate], "&gt;=" &amp; Q$1, Issues[ReleaseDate], "&lt;" &amp; R$1), 0)</f>
        <v>0</v>
      </c>
      <c r="S6" s="32" t="n">
        <v>0.1</v>
      </c>
      <c r="T6" s="32" t="n">
        <f aca="false">IFERROR(AVERAGEIFS(Issues[DaysToRelease], Issues[ReleaseDate], "&gt;=" &amp; S$1, Issues[ReleaseDate], "&lt;" &amp; T$1), 0)</f>
        <v>0</v>
      </c>
      <c r="U6" s="32" t="n">
        <f aca="false">IFERROR(AVERAGEIFS(Issues[DaysToRelease], Issues[ReleaseDate], "&gt;=" &amp; T$1, Issues[ReleaseDate], "&lt;" &amp; U$1), 0)</f>
        <v>0</v>
      </c>
      <c r="V6" s="27" t="n">
        <f aca="false">IFERROR(AVERAGEIFS(Issues[DaysToRelease], Issues[ReleaseDate], "&gt;=" &amp; U$1, Issues[ReleaseDate], "&lt;" &amp; V$1), 0)</f>
        <v>0</v>
      </c>
      <c r="W6" s="27" t="n">
        <f aca="false">IFERROR(AVERAGEIFS(Issues[DaysToRelease], Issues[ReleaseDate], "&gt;=" &amp; V$1, Issues[ReleaseDate], "&lt;" &amp; W$1), 0)</f>
        <v>0</v>
      </c>
      <c r="X6" s="27" t="n">
        <f aca="false">IFERROR(AVERAGEIFS(Issues[DaysToRelease], Issues[ReleaseDate], "&gt;=" &amp; W$1, Issues[ReleaseDate], "&lt;" &amp; X$1), 0)</f>
        <v>0</v>
      </c>
      <c r="Y6" s="27" t="n">
        <f aca="false">IFERROR(AVERAGEIFS(Issues[DaysToRelease], Issues[ReleaseDate], "&gt;=" &amp; X$1, Issues[ReleaseDate], "&lt;" &amp; Y$1), 0)</f>
        <v>0</v>
      </c>
      <c r="Z6" s="27" t="n">
        <f aca="false">IFERROR(AVERAGEIFS(Issues[DaysToRelease], Issues[ReleaseDate], "&gt;=" &amp; Y$1, Issues[ReleaseDate], "&lt;" &amp; Z$1), 0)</f>
        <v>0</v>
      </c>
      <c r="AA6" s="27" t="n">
        <f aca="false">IFERROR(AVERAGEIFS(Issues[DaysToRelease], Issues[ReleaseDate], "&gt;=" &amp; Z$1, Issues[ReleaseDate], "&lt;" &amp; AA$1), 0)</f>
        <v>0</v>
      </c>
      <c r="AB6" s="27" t="n">
        <f aca="false">IFERROR(AVERAGEIFS(Issues[DaysToRelease], Issues[ReleaseDate], "&gt;=" &amp; AA$1, Issues[ReleaseDate], "&lt;" &amp; AB$1), 0)</f>
        <v>0</v>
      </c>
      <c r="AC6" s="27" t="n">
        <f aca="false">IFERROR(AVERAGEIFS(Issues[DaysToRelease], Issues[ReleaseDate], "&gt;=" &amp; AB$1, Issues[ReleaseDate], "&lt;" &amp; AC$1), 0)</f>
        <v>0</v>
      </c>
      <c r="AD6" s="27" t="n">
        <f aca="false">IFERROR(AVERAGEIFS(Issues[DaysToRelease], Issues[ReleaseDate], "&gt;=" &amp; AC$1, Issues[ReleaseDate], "&lt;" &amp; AD$1), 0)</f>
        <v>0</v>
      </c>
      <c r="AE6" s="27" t="n">
        <f aca="false">IFERROR(AVERAGEIFS(Issues[DaysToRelease], Issues[ReleaseDate], "&gt;=" &amp; AD$1, Issues[ReleaseDate], "&lt;" &amp; AE$1), 0)</f>
        <v>0</v>
      </c>
      <c r="AF6" s="27" t="n">
        <f aca="false">IFERROR(AVERAGEIFS(Issues[DaysToRelease], Issues[ReleaseDate], "&gt;=" &amp; AE$1, Issues[ReleaseDate], "&lt;" &amp; AF$1), 0)</f>
        <v>0</v>
      </c>
    </row>
    <row r="7" customFormat="false" ht="13.5" hidden="false" customHeight="true" outlineLevel="0" collapsed="false">
      <c r="A7" s="25"/>
      <c r="B7" s="25"/>
    </row>
    <row r="8" customFormat="false" ht="13.5" hidden="false" customHeight="true" outlineLevel="0" collapsed="false">
      <c r="A8" s="25"/>
      <c r="B8" s="25"/>
    </row>
    <row r="9" customFormat="false" ht="13.5" hidden="false" customHeight="true" outlineLevel="0" collapsed="false">
      <c r="A9" s="25"/>
      <c r="B9" s="25"/>
    </row>
    <row r="10" customFormat="false" ht="13.5" hidden="false" customHeight="true" outlineLevel="0" collapsed="false">
      <c r="A10" s="25"/>
      <c r="B10" s="25"/>
    </row>
    <row r="11" customFormat="false" ht="13.5" hidden="false" customHeight="true" outlineLevel="0" collapsed="false">
      <c r="A11" s="25"/>
      <c r="B11" s="25"/>
    </row>
    <row r="12" customFormat="false" ht="13.5" hidden="false" customHeight="true" outlineLevel="0" collapsed="false">
      <c r="C12" s="1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5" hidden="false" customHeight="true" outlineLevel="0" collapsed="false">
      <c r="A38" s="1" t="s">
        <v>23</v>
      </c>
      <c r="D38" s="1" t="n">
        <f aca="false">SUM(E38:AF38)</f>
        <v>19.7045454545455</v>
      </c>
      <c r="E38" s="1" t="n">
        <f aca="false">IFERROR(30/E3,0)</f>
        <v>0</v>
      </c>
      <c r="F38" s="1" t="n">
        <f aca="false">IFERROR(30/F3,0)</f>
        <v>0</v>
      </c>
      <c r="G38" s="1" t="n">
        <f aca="false">IFERROR(30/G3,0)</f>
        <v>0</v>
      </c>
      <c r="H38" s="1" t="n">
        <f aca="false">IFERROR(30/H3,0)</f>
        <v>0</v>
      </c>
      <c r="I38" s="1" t="n">
        <f aca="false">IFERROR(30/I3,0)</f>
        <v>0</v>
      </c>
      <c r="J38" s="1" t="n">
        <f aca="false">IFERROR(30/J3,0)</f>
        <v>0</v>
      </c>
      <c r="K38" s="1" t="n">
        <f aca="false">IFERROR(30/K3,0)</f>
        <v>0</v>
      </c>
      <c r="L38" s="1" t="n">
        <f aca="false">IFERROR(30/L3,0)</f>
        <v>0</v>
      </c>
      <c r="M38" s="1" t="n">
        <f aca="false">IFERROR(30/M3,0)</f>
        <v>0</v>
      </c>
      <c r="N38" s="1" t="n">
        <f aca="false">IFERROR(30/N3,0)</f>
        <v>0</v>
      </c>
      <c r="O38" s="1" t="n">
        <f aca="false">IFERROR(30/O3,0)</f>
        <v>0.340909090909091</v>
      </c>
      <c r="P38" s="1" t="n">
        <f aca="false">IFERROR(30/P3,0)</f>
        <v>1.36363636363636</v>
      </c>
      <c r="Q38" s="1" t="n">
        <f aca="false">IFERROR(30/Q3,0)</f>
        <v>3</v>
      </c>
      <c r="R38" s="1" t="n">
        <f aca="false">IFERROR(30/R3,0)</f>
        <v>6</v>
      </c>
      <c r="S38" s="1" t="n">
        <f aca="false">IFERROR(30/S3,0)</f>
        <v>6</v>
      </c>
      <c r="T38" s="1" t="n">
        <f aca="false">IFERROR(30/T3,0)</f>
        <v>3</v>
      </c>
      <c r="U38" s="1" t="n">
        <f aca="false">IFERROR(30/U3,0)</f>
        <v>0</v>
      </c>
      <c r="V38" s="1" t="n">
        <f aca="false">IFERROR(30/V3,0)</f>
        <v>0</v>
      </c>
      <c r="W38" s="1" t="n">
        <f aca="false">IFERROR(30/W3,0)</f>
        <v>0</v>
      </c>
      <c r="X38" s="1" t="n">
        <f aca="false">IFERROR(30/X3,0)</f>
        <v>0</v>
      </c>
      <c r="Y38" s="1" t="n">
        <f aca="false">IFERROR(30/Y3,0)</f>
        <v>0</v>
      </c>
      <c r="Z38" s="1" t="n">
        <f aca="false">IFERROR(30/Z3,0)</f>
        <v>0</v>
      </c>
      <c r="AA38" s="1" t="n">
        <f aca="false">IFERROR(30/AA3,0)</f>
        <v>0</v>
      </c>
      <c r="AB38" s="1" t="n">
        <f aca="false">IFERROR(30/AB3,0)</f>
        <v>0</v>
      </c>
      <c r="AC38" s="1" t="n">
        <f aca="false">IFERROR(30/AC3,0)</f>
        <v>0</v>
      </c>
      <c r="AD38" s="1" t="n">
        <f aca="false">IFERROR(30/AD3,0)</f>
        <v>0</v>
      </c>
      <c r="AE38" s="1" t="n">
        <f aca="false">IFERROR(30/AE3,0)</f>
        <v>0</v>
      </c>
      <c r="AF38" s="1" t="n">
        <f aca="false">IFERROR(30/AF3,0)</f>
        <v>0</v>
      </c>
    </row>
    <row r="39" customFormat="false" ht="13.5" hidden="false" customHeight="true" outlineLevel="0" collapsed="false">
      <c r="A39" s="1" t="s">
        <v>24</v>
      </c>
      <c r="D39" s="1" t="n">
        <f aca="false">O4*(30/O3)</f>
        <v>0.00774793388429752</v>
      </c>
      <c r="E39" s="1" t="n">
        <f aca="false">IFERROR(E4*(30/E3),0)</f>
        <v>0</v>
      </c>
      <c r="F39" s="1" t="n">
        <f aca="false">IFERROR(F4*(30/F3),0)</f>
        <v>0</v>
      </c>
      <c r="G39" s="1" t="n">
        <f aca="false">IFERROR(G4*(30/G3),0)</f>
        <v>0</v>
      </c>
      <c r="H39" s="1" t="n">
        <f aca="false">IFERROR(H4*(30/H3),0)</f>
        <v>0</v>
      </c>
      <c r="I39" s="1" t="n">
        <f aca="false">IFERROR(I4*(30/I3),0)</f>
        <v>0</v>
      </c>
      <c r="J39" s="1" t="n">
        <f aca="false">IFERROR(J4*(30/J3),0)</f>
        <v>0</v>
      </c>
      <c r="K39" s="1" t="n">
        <f aca="false">IFERROR(K4*(30/K3),0)</f>
        <v>0</v>
      </c>
      <c r="L39" s="1" t="n">
        <f aca="false">IFERROR(L4*(30/L3),0)</f>
        <v>0</v>
      </c>
      <c r="M39" s="1" t="n">
        <f aca="false">IFERROR(M4*(30/M3),0)</f>
        <v>0</v>
      </c>
      <c r="N39" s="1" t="n">
        <f aca="false">IFERROR(N4*(30/N3),0)</f>
        <v>0</v>
      </c>
      <c r="O39" s="1" t="n">
        <f aca="false">IFERROR(O4*(30/O3),0)</f>
        <v>0.00774793388429752</v>
      </c>
      <c r="P39" s="1" t="n">
        <f aca="false">IFERROR(P4*(30/P3),0)</f>
        <v>0</v>
      </c>
      <c r="Q39" s="1" t="n">
        <f aca="false">IFERROR(Q4*(30/Q3),0)</f>
        <v>0.9</v>
      </c>
      <c r="R39" s="1" t="n">
        <f aca="false">IFERROR(R4*(30/R3),0)</f>
        <v>0.6</v>
      </c>
      <c r="S39" s="1" t="n">
        <f aca="false">IFERROR(S4*(30/S3),0)</f>
        <v>3</v>
      </c>
      <c r="T39" s="1" t="n">
        <f aca="false">IFERROR(T4*(30/T3),0)</f>
        <v>0.15</v>
      </c>
      <c r="U39" s="1" t="n">
        <f aca="false">IFERROR(U4*(30/U3),0)</f>
        <v>0</v>
      </c>
      <c r="V39" s="1" t="n">
        <f aca="false">IFERROR(V4*(30/V3),0)</f>
        <v>0</v>
      </c>
      <c r="W39" s="1" t="n">
        <f aca="false">IFERROR(W4*(30/W3),0)</f>
        <v>0</v>
      </c>
      <c r="X39" s="1" t="n">
        <f aca="false">IFERROR(X4*(30/X3),0)</f>
        <v>0</v>
      </c>
      <c r="Y39" s="1" t="n">
        <f aca="false">IFERROR(Y4*(30/Y3),0)</f>
        <v>0</v>
      </c>
      <c r="Z39" s="1" t="n">
        <f aca="false">IFERROR(Z4*(30/Z3),0)</f>
        <v>0</v>
      </c>
      <c r="AA39" s="1" t="n">
        <f aca="false">IFERROR(AA4*(30/AA3),0)</f>
        <v>0</v>
      </c>
      <c r="AB39" s="1" t="n">
        <f aca="false">IFERROR(AB4*(30/AB3),0)</f>
        <v>0</v>
      </c>
      <c r="AC39" s="1" t="n">
        <f aca="false">IFERROR(AC4*(30/AC3),0)</f>
        <v>0</v>
      </c>
      <c r="AD39" s="1" t="n">
        <f aca="false">IFERROR(AD4*(30/AD3),0)</f>
        <v>0</v>
      </c>
      <c r="AE39" s="1" t="n">
        <f aca="false">IFERROR(AE4*(30/AE3),0)</f>
        <v>0</v>
      </c>
      <c r="AF39" s="1" t="n">
        <f aca="false">IFERROR(AF4*(30/AF3),0)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2026-02-13T12:16:10Z</dcterms:created>
  <dc:creator/>
  <dc:description/>
  <dc:language>en-US</dc:language>
  <cp:lastModifiedBy/>
  <dcterms:modified xsi:type="dcterms:W3CDTF">2026-03-02T15:35:01Z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