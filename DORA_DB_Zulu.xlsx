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ZULU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<sst xmlns="http://schemas.openxmlformats.org/spreadsheetml/2006/main" count="44" uniqueCount="29">
  <si>
    <t xml:space="preserve">DeploymentID</t>
  </si>
  <si>
    <t xml:space="preserve">Acc</t>
  </si>
  <si>
    <t xml:space="preserve">Prod</t>
  </si>
  <si>
    <t xml:space="preserve">failed?</t>
  </si>
  <si>
    <t xml:space="preserve">commit id</t>
  </si>
  <si>
    <t xml:space="preserve">DateCommit</t>
  </si>
  <si>
    <t xml:space="preserve">DaysToRelease</t>
  </si>
  <si>
    <t xml:space="preserve">Issue ID</t>
  </si>
  <si>
    <t xml:space="preserve">Report Date</t>
  </si>
  <si>
    <t xml:space="preserve">Fixed-ReleaseID</t>
  </si>
  <si>
    <t xml:space="preserve">ReleaseDate</t>
  </si>
  <si>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</si>
  <si>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</si>
  <si>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</si>
  <si>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</si>
  <si>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</si>
  <si>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</si>
  <si>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</si>
  <si>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</si>
  <si>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</si>
  <si>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</si>
  <si>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</si>
  <si>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</si>
  <si>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RELEASES SINCE LAST MEASURMENT →</t>
  </si>
  <si>
    <t xml:space="preserve">failed releases →</t>
  </si>
  <si>
    <t xml:space="preserve">Average days from commit to prod →</t>
  </si>
  <si>
    <t xml:space="preserve">Average days to fix important failures</t>
  </si>
  <si>
    <t xml:space="preserve">Helper row, total releases</t>
  </si>
  <si>
    <t xml:space="preserve">Helper row, total failed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</si>
</sst>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dd/mm/yyyy"/>
    <numFmt numFmtId="167" formatCode="dd/mm/yy;@"/>
    <numFmt numFmtId="168" formatCode="0"/>
    <numFmt numFmtId="169" formatCode="dd/mm/yyyy;@"/>
    <numFmt numFmtId="170" formatCode="0.00"/>
    <numFmt numFmtId="171" formatCode="d/mm/yyyy;@"/>
    <numFmt numFmtId="172" formatCode="dd\.mm\.yy;@"/>
    <numFmt numFmtId="173" formatCode="0.00%"/>
    <numFmt numFmtId="174" formatCode="#,##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D9D9D9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0.181818181818182</c:v>
                </c:pt>
                <c:pt idx="1">
                  <c:v>0.193548387096774</c:v>
                </c:pt>
                <c:pt idx="2">
                  <c:v>0.304347826086957</c:v>
                </c:pt>
                <c:pt idx="3">
                  <c:v>0.25</c:v>
                </c:pt>
                <c:pt idx="4">
                  <c:v>0.15625</c:v>
                </c:pt>
                <c:pt idx="5">
                  <c:v>0.102564102564103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0.37037037037037</c:v>
                </c:pt>
                <c:pt idx="1">
                  <c:v>0.230769230769231</c:v>
                </c:pt>
                <c:pt idx="2">
                  <c:v>0.4</c:v>
                </c:pt>
                <c:pt idx="3">
                  <c:v>0.277777777777778</c:v>
                </c:pt>
                <c:pt idx="4">
                  <c:v>0.333333333333333</c:v>
                </c:pt>
                <c:pt idx="5">
                  <c:v>0.416666666666667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3.4</c:v>
                </c:pt>
                <c:pt idx="1">
                  <c:v>3.42857142857143</c:v>
                </c:pt>
                <c:pt idx="2">
                  <c:v>3.83333333333333</c:v>
                </c:pt>
                <c:pt idx="3">
                  <c:v>3.66666666666667</c:v>
                </c:pt>
                <c:pt idx="4">
                  <c:v>4.2</c:v>
                </c:pt>
                <c:pt idx="5">
                  <c:v>3.75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40390"/>
        <c:axId val="12804414"/>
      </c:lineChart>
      <c:dateAx>
        <c:axId val="4640390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12804414"/>
        <c:crosses val="autoZero"/>
        <c:auto val="1"/>
        <c:lblOffset val="100"/>
        <c:baseTimeUnit val="months"/>
      </c:dateAx>
      <c:valAx>
        <c:axId val="128044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6403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511920</xdr:colOff>
      <xdr:row>21</xdr:row>
      <xdr:rowOff>83160</xdr:rowOff>
    </xdr:to>
    <xdr:graphicFrame>
      <xdr:nvGraphicFramePr>
        <xdr:cNvPr id="1" name="Chart 1"/>
        <xdr:cNvGraphicFramePr/>
      </xdr:nvGraphicFramePr>
      <xdr:xfrm>
        <a:off x="19662840" y="1342800"/>
        <a:ext cx="5116320" cy="27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150" headerRowCount="1" totalsRowCount="0" totalsRowShown="0">
  <autoFilter ref="A1:D150"/>
  <tableColumns count="4">
    <tableColumn id="1" name="commit id"/>
    <tableColumn id="2" name="DateCommit"/>
    <tableColumn id="3" name="DeploymentID"/>
    <tableColumn id="4" name="DaysToRelease"/>
  </tableColumns>
</table>
</file>

<file path=xl/tables/table2.xml><?xml version="1.0" encoding="utf-8"?>
<table xmlns="http://schemas.openxmlformats.org/spreadsheetml/2006/main" id="2" name="Deployments" displayName="Deployments" ref="A1:D184" headerRowCount="1" totalsRowCount="0" totalsRowShown="0">
  <autoFilter ref="A1:D184"/>
  <tableColumns count="4">
    <tableColumn id="1" name="DeploymentID"/>
    <tableColumn id="2" name="Acc"/>
    <tableColumn id="3" name="Prod"/>
    <tableColumn id="4" name="failed?"/>
  </tableColumns>
</table>
</file>

<file path=xl/tables/table3.xml><?xml version="1.0" encoding="utf-8"?>
<table xmlns="http://schemas.openxmlformats.org/spreadsheetml/2006/main" id="3" name="Issues" displayName="Issues" ref="A1:E35" headerRowCount="1" totalsRowCount="0" totalsRowShown="0">
  <autoFilter ref="A1:E35"/>
  <tableColumns count="5">
    <tableColumn id="1" name="Issue ID"/>
    <tableColumn id="2" name="Report Date"/>
    <tableColumn id="3" name="Fixed-ReleaseID"/>
    <tableColumn id="4" name="DaysToRelease"/>
    <tableColumn id="5" name="Release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7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2" width="13.86"/>
    <col collapsed="false" customWidth="true" hidden="false" outlineLevel="0" max="3" min="3" style="2" width="14.43"/>
    <col collapsed="false" customWidth="true" hidden="false" outlineLevel="0" max="4" min="4" style="1" width="9.43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true" outlineLevel="0" collapsed="false">
      <c r="A2" s="5" t="n">
        <v>1</v>
      </c>
      <c r="B2" s="6" t="n">
        <v>45901</v>
      </c>
      <c r="C2" s="6" t="n">
        <v>45901</v>
      </c>
      <c r="D2" s="5" t="n">
        <v>1</v>
      </c>
    </row>
    <row r="3" customFormat="false" ht="15" hidden="false" customHeight="true" outlineLevel="0" collapsed="false">
      <c r="A3" s="5" t="n">
        <v>2</v>
      </c>
      <c r="B3" s="6" t="n">
        <v>45905</v>
      </c>
      <c r="C3" s="6" t="n">
        <v>45905</v>
      </c>
      <c r="D3" s="5" t="n">
        <v>0</v>
      </c>
    </row>
    <row r="4" customFormat="false" ht="15" hidden="false" customHeight="true" outlineLevel="0" collapsed="false">
      <c r="A4" s="5" t="n">
        <v>3</v>
      </c>
      <c r="B4" s="6" t="n">
        <v>45905</v>
      </c>
      <c r="C4" s="6" t="n">
        <v>45905</v>
      </c>
      <c r="D4" s="5" t="n">
        <v>0</v>
      </c>
    </row>
    <row r="5" customFormat="false" ht="15" hidden="false" customHeight="true" outlineLevel="0" collapsed="false">
      <c r="A5" s="5" t="n">
        <v>4</v>
      </c>
      <c r="B5" s="6" t="n">
        <v>45906</v>
      </c>
      <c r="C5" s="6" t="n">
        <v>45906</v>
      </c>
      <c r="D5" s="5" t="n">
        <v>0</v>
      </c>
    </row>
    <row r="6" customFormat="false" ht="15" hidden="false" customHeight="true" outlineLevel="0" collapsed="false">
      <c r="A6" s="5" t="n">
        <v>5</v>
      </c>
      <c r="B6" s="6" t="n">
        <v>45906</v>
      </c>
      <c r="C6" s="6" t="n">
        <v>45906</v>
      </c>
      <c r="D6" s="5" t="n">
        <v>0</v>
      </c>
    </row>
    <row r="7" customFormat="false" ht="15" hidden="false" customHeight="true" outlineLevel="0" collapsed="false">
      <c r="A7" s="5" t="n">
        <v>6</v>
      </c>
      <c r="B7" s="6" t="n">
        <v>45907</v>
      </c>
      <c r="C7" s="6" t="n">
        <v>45907</v>
      </c>
      <c r="D7" s="5" t="n">
        <v>0</v>
      </c>
    </row>
    <row r="8" customFormat="false" ht="15" hidden="false" customHeight="true" outlineLevel="0" collapsed="false">
      <c r="A8" s="5" t="n">
        <v>7</v>
      </c>
      <c r="B8" s="6" t="n">
        <v>45907</v>
      </c>
      <c r="C8" s="6" t="n">
        <v>45907</v>
      </c>
      <c r="D8" s="5" t="n">
        <v>0</v>
      </c>
    </row>
    <row r="9" customFormat="false" ht="15" hidden="false" customHeight="true" outlineLevel="0" collapsed="false">
      <c r="A9" s="5" t="n">
        <v>8</v>
      </c>
      <c r="B9" s="6" t="n">
        <v>45907</v>
      </c>
      <c r="C9" s="6" t="n">
        <v>45907</v>
      </c>
      <c r="D9" s="5" t="n">
        <v>1</v>
      </c>
    </row>
    <row r="10" customFormat="false" ht="15" hidden="false" customHeight="true" outlineLevel="0" collapsed="false">
      <c r="A10" s="5" t="n">
        <v>9</v>
      </c>
      <c r="B10" s="6" t="n">
        <v>45910</v>
      </c>
      <c r="C10" s="6" t="n">
        <v>45910</v>
      </c>
      <c r="D10" s="5" t="n">
        <v>0</v>
      </c>
    </row>
    <row r="11" customFormat="false" ht="15" hidden="false" customHeight="true" outlineLevel="0" collapsed="false">
      <c r="A11" s="5" t="n">
        <v>10</v>
      </c>
      <c r="B11" s="6" t="n">
        <v>45910</v>
      </c>
      <c r="C11" s="6" t="n">
        <v>45910</v>
      </c>
      <c r="D11" s="5" t="n">
        <v>0</v>
      </c>
    </row>
    <row r="12" customFormat="false" ht="15" hidden="false" customHeight="true" outlineLevel="0" collapsed="false">
      <c r="A12" s="5" t="n">
        <v>11</v>
      </c>
      <c r="B12" s="6" t="n">
        <v>45911</v>
      </c>
      <c r="C12" s="6" t="n">
        <v>45911</v>
      </c>
      <c r="D12" s="5" t="n">
        <v>0</v>
      </c>
    </row>
    <row r="13" customFormat="false" ht="15" hidden="false" customHeight="true" outlineLevel="0" collapsed="false">
      <c r="A13" s="5" t="n">
        <v>12</v>
      </c>
      <c r="B13" s="6" t="n">
        <v>45911</v>
      </c>
      <c r="C13" s="6" t="n">
        <v>45911</v>
      </c>
      <c r="D13" s="5" t="n">
        <v>0</v>
      </c>
    </row>
    <row r="14" customFormat="false" ht="15" hidden="false" customHeight="true" outlineLevel="0" collapsed="false">
      <c r="A14" s="5" t="n">
        <v>13</v>
      </c>
      <c r="B14" s="6" t="n">
        <v>45912</v>
      </c>
      <c r="C14" s="6" t="n">
        <v>45912</v>
      </c>
      <c r="D14" s="5" t="n">
        <v>1</v>
      </c>
    </row>
    <row r="15" customFormat="false" ht="15" hidden="false" customHeight="true" outlineLevel="0" collapsed="false">
      <c r="A15" s="5" t="n">
        <v>14</v>
      </c>
      <c r="B15" s="6" t="n">
        <v>45916</v>
      </c>
      <c r="C15" s="6" t="n">
        <v>45916</v>
      </c>
      <c r="D15" s="5" t="n">
        <v>0</v>
      </c>
    </row>
    <row r="16" customFormat="false" ht="15" hidden="false" customHeight="true" outlineLevel="0" collapsed="false">
      <c r="A16" s="5" t="n">
        <v>15</v>
      </c>
      <c r="B16" s="6" t="n">
        <v>45916</v>
      </c>
      <c r="C16" s="6" t="n">
        <v>45916</v>
      </c>
      <c r="D16" s="5" t="n">
        <v>0</v>
      </c>
    </row>
    <row r="17" customFormat="false" ht="15" hidden="false" customHeight="true" outlineLevel="0" collapsed="false">
      <c r="A17" s="5" t="n">
        <v>16</v>
      </c>
      <c r="B17" s="6" t="n">
        <v>45916</v>
      </c>
      <c r="C17" s="6" t="n">
        <v>45916</v>
      </c>
      <c r="D17" s="5" t="n">
        <v>0</v>
      </c>
    </row>
    <row r="18" customFormat="false" ht="15" hidden="false" customHeight="true" outlineLevel="0" collapsed="false">
      <c r="A18" s="5" t="n">
        <v>17</v>
      </c>
      <c r="B18" s="6" t="n">
        <v>45917</v>
      </c>
      <c r="C18" s="6" t="n">
        <v>45917</v>
      </c>
      <c r="D18" s="5" t="n">
        <v>0</v>
      </c>
    </row>
    <row r="19" customFormat="false" ht="15" hidden="false" customHeight="true" outlineLevel="0" collapsed="false">
      <c r="A19" s="5" t="n">
        <v>18</v>
      </c>
      <c r="B19" s="6" t="n">
        <v>45917</v>
      </c>
      <c r="C19" s="6" t="n">
        <v>45917</v>
      </c>
      <c r="D19" s="5" t="n">
        <v>0</v>
      </c>
    </row>
    <row r="20" customFormat="false" ht="15" hidden="false" customHeight="true" outlineLevel="0" collapsed="false">
      <c r="A20" s="5" t="n">
        <v>19</v>
      </c>
      <c r="B20" s="6" t="n">
        <v>45917</v>
      </c>
      <c r="C20" s="6" t="n">
        <v>45917</v>
      </c>
      <c r="D20" s="5" t="n">
        <v>0</v>
      </c>
    </row>
    <row r="21" customFormat="false" ht="15" hidden="false" customHeight="true" outlineLevel="0" collapsed="false">
      <c r="A21" s="5" t="n">
        <v>20</v>
      </c>
      <c r="B21" s="6" t="n">
        <v>45918</v>
      </c>
      <c r="C21" s="6" t="n">
        <v>45918</v>
      </c>
      <c r="D21" s="5" t="n">
        <v>1</v>
      </c>
    </row>
    <row r="22" customFormat="false" ht="15" hidden="false" customHeight="true" outlineLevel="0" collapsed="false">
      <c r="A22" s="5" t="n">
        <v>21</v>
      </c>
      <c r="B22" s="6" t="n">
        <v>45921</v>
      </c>
      <c r="C22" s="6" t="n">
        <v>45921</v>
      </c>
      <c r="D22" s="5" t="n">
        <v>0</v>
      </c>
    </row>
    <row r="23" customFormat="false" ht="15" hidden="false" customHeight="true" outlineLevel="0" collapsed="false">
      <c r="A23" s="5" t="n">
        <v>22</v>
      </c>
      <c r="B23" s="6" t="n">
        <v>45922</v>
      </c>
      <c r="C23" s="6" t="n">
        <v>45922</v>
      </c>
      <c r="D23" s="5" t="n">
        <v>0</v>
      </c>
    </row>
    <row r="24" customFormat="false" ht="15" hidden="false" customHeight="true" outlineLevel="0" collapsed="false">
      <c r="A24" s="5" t="n">
        <v>23</v>
      </c>
      <c r="B24" s="6" t="n">
        <v>45922</v>
      </c>
      <c r="C24" s="6" t="n">
        <v>45922</v>
      </c>
      <c r="D24" s="5" t="n">
        <v>0</v>
      </c>
    </row>
    <row r="25" customFormat="false" ht="15" hidden="false" customHeight="true" outlineLevel="0" collapsed="false">
      <c r="A25" s="5" t="n">
        <v>24</v>
      </c>
      <c r="B25" s="6" t="n">
        <v>45922</v>
      </c>
      <c r="C25" s="6" t="n">
        <v>45922</v>
      </c>
      <c r="D25" s="5" t="n">
        <v>0</v>
      </c>
    </row>
    <row r="26" customFormat="false" ht="15" hidden="false" customHeight="true" outlineLevel="0" collapsed="false">
      <c r="A26" s="5" t="n">
        <v>25</v>
      </c>
      <c r="B26" s="6" t="n">
        <v>45923</v>
      </c>
      <c r="C26" s="6" t="n">
        <v>45923</v>
      </c>
      <c r="D26" s="5" t="n">
        <v>0</v>
      </c>
    </row>
    <row r="27" customFormat="false" ht="15" hidden="false" customHeight="true" outlineLevel="0" collapsed="false">
      <c r="A27" s="5" t="n">
        <v>26</v>
      </c>
      <c r="B27" s="6" t="n">
        <v>45923</v>
      </c>
      <c r="C27" s="6" t="n">
        <v>45923</v>
      </c>
      <c r="D27" s="5" t="n">
        <v>0</v>
      </c>
    </row>
    <row r="28" customFormat="false" ht="15" hidden="false" customHeight="true" outlineLevel="0" collapsed="false">
      <c r="A28" s="5" t="n">
        <v>27</v>
      </c>
      <c r="B28" s="6" t="n">
        <v>45924</v>
      </c>
      <c r="C28" s="6" t="n">
        <v>45924</v>
      </c>
      <c r="D28" s="5" t="n">
        <v>0</v>
      </c>
    </row>
    <row r="29" customFormat="false" ht="15" hidden="false" customHeight="true" outlineLevel="0" collapsed="false">
      <c r="A29" s="5" t="n">
        <v>28</v>
      </c>
      <c r="B29" s="6" t="n">
        <v>45924</v>
      </c>
      <c r="C29" s="6" t="n">
        <v>45924</v>
      </c>
      <c r="D29" s="5" t="n">
        <v>0</v>
      </c>
    </row>
    <row r="30" customFormat="false" ht="15" hidden="false" customHeight="true" outlineLevel="0" collapsed="false">
      <c r="A30" s="5" t="n">
        <v>29</v>
      </c>
      <c r="B30" s="6" t="n">
        <v>45924</v>
      </c>
      <c r="C30" s="6" t="n">
        <v>45924</v>
      </c>
      <c r="D30" s="5" t="n">
        <v>1</v>
      </c>
    </row>
    <row r="31" customFormat="false" ht="15" hidden="false" customHeight="true" outlineLevel="0" collapsed="false">
      <c r="A31" s="5" t="n">
        <v>30</v>
      </c>
      <c r="B31" s="6" t="n">
        <v>45927</v>
      </c>
      <c r="C31" s="6" t="n">
        <v>45927</v>
      </c>
      <c r="D31" s="5" t="n">
        <v>0</v>
      </c>
    </row>
    <row r="32" customFormat="false" ht="15" hidden="false" customHeight="true" outlineLevel="0" collapsed="false">
      <c r="A32" s="5" t="n">
        <v>31</v>
      </c>
      <c r="B32" s="6" t="n">
        <v>45927</v>
      </c>
      <c r="C32" s="6" t="n">
        <v>45927</v>
      </c>
      <c r="D32" s="5" t="n">
        <v>0</v>
      </c>
    </row>
    <row r="33" customFormat="false" ht="15" hidden="false" customHeight="true" outlineLevel="0" collapsed="false">
      <c r="A33" s="5" t="n">
        <v>32</v>
      </c>
      <c r="B33" s="6" t="n">
        <v>45928</v>
      </c>
      <c r="C33" s="6" t="n">
        <v>45928</v>
      </c>
      <c r="D33" s="5" t="n">
        <v>0</v>
      </c>
    </row>
    <row r="34" customFormat="false" ht="15" hidden="false" customHeight="true" outlineLevel="0" collapsed="false">
      <c r="A34" s="5" t="n">
        <v>33</v>
      </c>
      <c r="B34" s="6" t="n">
        <v>45928</v>
      </c>
      <c r="C34" s="6" t="n">
        <v>45928</v>
      </c>
      <c r="D34" s="5" t="n">
        <v>1</v>
      </c>
    </row>
    <row r="35" customFormat="false" ht="15" hidden="false" customHeight="true" outlineLevel="0" collapsed="false">
      <c r="A35" s="5" t="n">
        <v>34</v>
      </c>
      <c r="B35" s="6" t="n">
        <v>45932</v>
      </c>
      <c r="C35" s="6" t="n">
        <v>45932</v>
      </c>
      <c r="D35" s="5" t="n">
        <v>0</v>
      </c>
    </row>
    <row r="36" customFormat="false" ht="15" hidden="false" customHeight="true" outlineLevel="0" collapsed="false">
      <c r="A36" s="5" t="n">
        <v>35</v>
      </c>
      <c r="B36" s="6" t="n">
        <v>45932</v>
      </c>
      <c r="C36" s="6" t="n">
        <v>45932</v>
      </c>
      <c r="D36" s="5" t="n">
        <v>1</v>
      </c>
    </row>
    <row r="37" customFormat="false" ht="15" hidden="false" customHeight="true" outlineLevel="0" collapsed="false">
      <c r="A37" s="5" t="n">
        <v>36</v>
      </c>
      <c r="B37" s="6" t="n">
        <v>45935</v>
      </c>
      <c r="C37" s="6" t="n">
        <v>45935</v>
      </c>
      <c r="D37" s="5" t="n">
        <v>0</v>
      </c>
    </row>
    <row r="38" customFormat="false" ht="15" hidden="false" customHeight="true" outlineLevel="0" collapsed="false">
      <c r="A38" s="5" t="n">
        <v>37</v>
      </c>
      <c r="B38" s="6" t="n">
        <v>45936</v>
      </c>
      <c r="C38" s="6" t="n">
        <v>45936</v>
      </c>
      <c r="D38" s="5" t="n">
        <v>0</v>
      </c>
    </row>
    <row r="39" customFormat="false" ht="15" hidden="false" customHeight="true" outlineLevel="0" collapsed="false">
      <c r="A39" s="5" t="n">
        <v>38</v>
      </c>
      <c r="B39" s="6" t="n">
        <v>45936</v>
      </c>
      <c r="C39" s="6" t="n">
        <v>45936</v>
      </c>
      <c r="D39" s="5" t="n">
        <v>0</v>
      </c>
    </row>
    <row r="40" customFormat="false" ht="15" hidden="false" customHeight="true" outlineLevel="0" collapsed="false">
      <c r="A40" s="5" t="n">
        <v>39</v>
      </c>
      <c r="B40" s="6" t="n">
        <v>45936</v>
      </c>
      <c r="C40" s="6" t="n">
        <v>45936</v>
      </c>
      <c r="D40" s="5" t="n">
        <v>1</v>
      </c>
    </row>
    <row r="41" customFormat="false" ht="15" hidden="false" customHeight="true" outlineLevel="0" collapsed="false">
      <c r="A41" s="5" t="n">
        <v>40</v>
      </c>
      <c r="B41" s="6" t="n">
        <v>45939</v>
      </c>
      <c r="C41" s="6" t="n">
        <v>45939</v>
      </c>
      <c r="D41" s="5" t="n">
        <v>0</v>
      </c>
    </row>
    <row r="42" customFormat="false" ht="15" hidden="false" customHeight="true" outlineLevel="0" collapsed="false">
      <c r="A42" s="5" t="n">
        <v>41</v>
      </c>
      <c r="B42" s="6" t="n">
        <v>45939</v>
      </c>
      <c r="C42" s="6" t="n">
        <v>45939</v>
      </c>
      <c r="D42" s="5" t="n">
        <v>0</v>
      </c>
    </row>
    <row r="43" customFormat="false" ht="15" hidden="false" customHeight="true" outlineLevel="0" collapsed="false">
      <c r="A43" s="5" t="n">
        <v>42</v>
      </c>
      <c r="B43" s="6" t="n">
        <v>45939</v>
      </c>
      <c r="C43" s="6" t="n">
        <v>45939</v>
      </c>
      <c r="D43" s="5" t="n">
        <v>0</v>
      </c>
    </row>
    <row r="44" customFormat="false" ht="15" hidden="false" customHeight="true" outlineLevel="0" collapsed="false">
      <c r="A44" s="5" t="n">
        <v>43</v>
      </c>
      <c r="B44" s="6" t="n">
        <v>45940</v>
      </c>
      <c r="C44" s="6" t="n">
        <v>45940</v>
      </c>
      <c r="D44" s="5" t="n">
        <v>0</v>
      </c>
    </row>
    <row r="45" customFormat="false" ht="15" hidden="false" customHeight="true" outlineLevel="0" collapsed="false">
      <c r="A45" s="5" t="n">
        <v>44</v>
      </c>
      <c r="B45" s="6" t="n">
        <v>45940</v>
      </c>
      <c r="C45" s="6" t="n">
        <v>45940</v>
      </c>
      <c r="D45" s="5" t="n">
        <v>0</v>
      </c>
    </row>
    <row r="46" customFormat="false" ht="15" hidden="false" customHeight="true" outlineLevel="0" collapsed="false">
      <c r="A46" s="5" t="n">
        <v>45</v>
      </c>
      <c r="B46" s="6" t="n">
        <v>45941</v>
      </c>
      <c r="C46" s="6" t="n">
        <v>45941</v>
      </c>
      <c r="D46" s="5" t="n">
        <v>0</v>
      </c>
    </row>
    <row r="47" customFormat="false" ht="15" hidden="false" customHeight="true" outlineLevel="0" collapsed="false">
      <c r="A47" s="5" t="n">
        <v>46</v>
      </c>
      <c r="B47" s="6" t="n">
        <v>45941</v>
      </c>
      <c r="C47" s="6" t="n">
        <v>45941</v>
      </c>
      <c r="D47" s="5" t="n">
        <v>1</v>
      </c>
    </row>
    <row r="48" customFormat="false" ht="15" hidden="false" customHeight="true" outlineLevel="0" collapsed="false">
      <c r="A48" s="5" t="n">
        <v>47</v>
      </c>
      <c r="B48" s="6" t="n">
        <v>45944</v>
      </c>
      <c r="C48" s="6" t="n">
        <v>45944</v>
      </c>
      <c r="D48" s="5" t="n">
        <v>0</v>
      </c>
    </row>
    <row r="49" customFormat="false" ht="15" hidden="false" customHeight="true" outlineLevel="0" collapsed="false">
      <c r="A49" s="5" t="n">
        <v>48</v>
      </c>
      <c r="B49" s="6" t="n">
        <v>45945</v>
      </c>
      <c r="C49" s="6" t="n">
        <v>45945</v>
      </c>
      <c r="D49" s="5" t="n">
        <v>1</v>
      </c>
    </row>
    <row r="50" customFormat="false" ht="15" hidden="false" customHeight="true" outlineLevel="0" collapsed="false">
      <c r="A50" s="5" t="n">
        <v>49</v>
      </c>
      <c r="B50" s="6" t="n">
        <v>45947</v>
      </c>
      <c r="C50" s="6" t="n">
        <v>45947</v>
      </c>
      <c r="D50" s="5" t="n">
        <v>0</v>
      </c>
    </row>
    <row r="51" customFormat="false" ht="15" hidden="false" customHeight="true" outlineLevel="0" collapsed="false">
      <c r="A51" s="5" t="n">
        <v>50</v>
      </c>
      <c r="B51" s="6" t="n">
        <v>45948</v>
      </c>
      <c r="C51" s="6" t="n">
        <v>45948</v>
      </c>
      <c r="D51" s="5" t="n">
        <v>0</v>
      </c>
    </row>
    <row r="52" customFormat="false" ht="15" hidden="false" customHeight="true" outlineLevel="0" collapsed="false">
      <c r="A52" s="5" t="n">
        <v>51</v>
      </c>
      <c r="B52" s="6" t="n">
        <v>45948</v>
      </c>
      <c r="C52" s="6" t="n">
        <v>45948</v>
      </c>
      <c r="D52" s="5" t="n">
        <v>0</v>
      </c>
    </row>
    <row r="53" customFormat="false" ht="15" hidden="false" customHeight="true" outlineLevel="0" collapsed="false">
      <c r="A53" s="5" t="n">
        <v>52</v>
      </c>
      <c r="B53" s="6" t="n">
        <v>45948</v>
      </c>
      <c r="C53" s="6" t="n">
        <v>45948</v>
      </c>
      <c r="D53" s="5" t="n">
        <v>0</v>
      </c>
    </row>
    <row r="54" customFormat="false" ht="15" hidden="false" customHeight="true" outlineLevel="0" collapsed="false">
      <c r="A54" s="5" t="n">
        <v>53</v>
      </c>
      <c r="B54" s="6" t="n">
        <v>45949</v>
      </c>
      <c r="C54" s="6" t="n">
        <v>45949</v>
      </c>
      <c r="D54" s="5" t="n">
        <v>0</v>
      </c>
    </row>
    <row r="55" customFormat="false" ht="15" hidden="false" customHeight="true" outlineLevel="0" collapsed="false">
      <c r="A55" s="5" t="n">
        <v>54</v>
      </c>
      <c r="B55" s="6" t="n">
        <v>45949</v>
      </c>
      <c r="C55" s="6" t="n">
        <v>45949</v>
      </c>
      <c r="D55" s="5" t="n">
        <v>0</v>
      </c>
    </row>
    <row r="56" customFormat="false" ht="15" hidden="false" customHeight="true" outlineLevel="0" collapsed="false">
      <c r="A56" s="5" t="n">
        <v>55</v>
      </c>
      <c r="B56" s="6" t="n">
        <v>45949</v>
      </c>
      <c r="C56" s="6" t="n">
        <v>45949</v>
      </c>
      <c r="D56" s="5" t="n">
        <v>0</v>
      </c>
    </row>
    <row r="57" customFormat="false" ht="15" hidden="false" customHeight="true" outlineLevel="0" collapsed="false">
      <c r="A57" s="5" t="n">
        <v>56</v>
      </c>
      <c r="B57" s="6" t="n">
        <v>45950</v>
      </c>
      <c r="C57" s="6" t="n">
        <v>45950</v>
      </c>
      <c r="D57" s="5" t="n">
        <v>0</v>
      </c>
    </row>
    <row r="58" customFormat="false" ht="15" hidden="false" customHeight="true" outlineLevel="0" collapsed="false">
      <c r="A58" s="5" t="n">
        <v>57</v>
      </c>
      <c r="B58" s="6" t="n">
        <v>45950</v>
      </c>
      <c r="C58" s="6" t="n">
        <v>45950</v>
      </c>
      <c r="D58" s="5" t="n">
        <v>0</v>
      </c>
    </row>
    <row r="59" customFormat="false" ht="15" hidden="false" customHeight="true" outlineLevel="0" collapsed="false">
      <c r="A59" s="5" t="n">
        <v>58</v>
      </c>
      <c r="B59" s="6" t="n">
        <v>45951</v>
      </c>
      <c r="C59" s="6" t="n">
        <v>45951</v>
      </c>
      <c r="D59" s="5" t="n">
        <v>1</v>
      </c>
    </row>
    <row r="60" customFormat="false" ht="15" hidden="false" customHeight="true" outlineLevel="0" collapsed="false">
      <c r="A60" s="5" t="n">
        <v>59</v>
      </c>
      <c r="B60" s="6" t="n">
        <v>45955</v>
      </c>
      <c r="C60" s="6" t="n">
        <v>45955</v>
      </c>
      <c r="D60" s="5" t="n">
        <v>0</v>
      </c>
    </row>
    <row r="61" customFormat="false" ht="15" hidden="false" customHeight="false" outlineLevel="0" collapsed="false">
      <c r="A61" s="1" t="n">
        <v>60</v>
      </c>
      <c r="B61" s="7" t="n">
        <v>45955</v>
      </c>
      <c r="C61" s="7" t="n">
        <v>45955</v>
      </c>
      <c r="D61" s="1" t="n">
        <v>0</v>
      </c>
    </row>
    <row r="62" customFormat="false" ht="15" hidden="false" customHeight="false" outlineLevel="0" collapsed="false">
      <c r="A62" s="1" t="n">
        <v>61</v>
      </c>
      <c r="B62" s="7" t="n">
        <v>45956</v>
      </c>
      <c r="C62" s="7" t="n">
        <v>45956</v>
      </c>
      <c r="D62" s="1" t="n">
        <v>1</v>
      </c>
    </row>
    <row r="63" customFormat="false" ht="15" hidden="false" customHeight="false" outlineLevel="0" collapsed="false">
      <c r="A63" s="1" t="n">
        <v>62</v>
      </c>
      <c r="B63" s="7" t="n">
        <v>45961</v>
      </c>
      <c r="C63" s="7" t="n">
        <v>45961</v>
      </c>
      <c r="D63" s="1" t="n">
        <v>0</v>
      </c>
    </row>
    <row r="64" customFormat="false" ht="15" hidden="false" customHeight="false" outlineLevel="0" collapsed="false">
      <c r="A64" s="1" t="n">
        <v>63</v>
      </c>
      <c r="B64" s="7" t="n">
        <v>45961</v>
      </c>
      <c r="C64" s="7" t="n">
        <v>45961</v>
      </c>
      <c r="D64" s="1" t="n">
        <v>0</v>
      </c>
    </row>
    <row r="65" customFormat="false" ht="15" hidden="false" customHeight="false" outlineLevel="0" collapsed="false">
      <c r="A65" s="1" t="n">
        <v>64</v>
      </c>
      <c r="B65" s="7" t="n">
        <v>45961</v>
      </c>
      <c r="C65" s="7" t="n">
        <v>45961</v>
      </c>
      <c r="D65" s="1" t="n">
        <v>0</v>
      </c>
    </row>
    <row r="66" customFormat="false" ht="15" hidden="false" customHeight="false" outlineLevel="0" collapsed="false">
      <c r="A66" s="1" t="n">
        <v>65</v>
      </c>
      <c r="B66" s="7" t="n">
        <v>45962</v>
      </c>
      <c r="C66" s="7" t="n">
        <v>45962</v>
      </c>
      <c r="D66" s="1" t="n">
        <v>0</v>
      </c>
    </row>
    <row r="67" customFormat="false" ht="15" hidden="false" customHeight="false" outlineLevel="0" collapsed="false">
      <c r="A67" s="1" t="n">
        <v>66</v>
      </c>
      <c r="B67" s="7" t="n">
        <v>45962</v>
      </c>
      <c r="C67" s="7" t="n">
        <v>45962</v>
      </c>
      <c r="D67" s="1" t="n">
        <v>0</v>
      </c>
    </row>
    <row r="68" customFormat="false" ht="15" hidden="false" customHeight="false" outlineLevel="0" collapsed="false">
      <c r="A68" s="1" t="n">
        <v>67</v>
      </c>
      <c r="B68" s="7" t="n">
        <v>45962</v>
      </c>
      <c r="C68" s="7" t="n">
        <v>45962</v>
      </c>
      <c r="D68" s="1" t="n">
        <v>1</v>
      </c>
    </row>
    <row r="69" customFormat="false" ht="15" hidden="false" customHeight="false" outlineLevel="0" collapsed="false">
      <c r="A69" s="1" t="n">
        <v>68</v>
      </c>
      <c r="B69" s="7" t="n">
        <v>45967</v>
      </c>
      <c r="C69" s="7" t="n">
        <v>45967</v>
      </c>
      <c r="D69" s="1" t="n">
        <v>0</v>
      </c>
    </row>
    <row r="70" customFormat="false" ht="15" hidden="false" customHeight="false" outlineLevel="0" collapsed="false">
      <c r="A70" s="1" t="n">
        <v>69</v>
      </c>
      <c r="B70" s="7" t="n">
        <v>45968</v>
      </c>
      <c r="C70" s="7" t="n">
        <v>45968</v>
      </c>
      <c r="D70" s="1" t="n">
        <v>0</v>
      </c>
    </row>
    <row r="71" customFormat="false" ht="15" hidden="false" customHeight="false" outlineLevel="0" collapsed="false">
      <c r="A71" s="1" t="n">
        <v>70</v>
      </c>
      <c r="B71" s="7" t="n">
        <v>45968</v>
      </c>
      <c r="C71" s="7" t="n">
        <v>45968</v>
      </c>
      <c r="D71" s="1" t="n">
        <v>1</v>
      </c>
    </row>
    <row r="72" customFormat="false" ht="15" hidden="false" customHeight="false" outlineLevel="0" collapsed="false">
      <c r="A72" s="1" t="n">
        <v>71</v>
      </c>
      <c r="B72" s="7" t="n">
        <v>45973</v>
      </c>
      <c r="C72" s="7" t="n">
        <v>45973</v>
      </c>
      <c r="D72" s="1" t="n">
        <v>0</v>
      </c>
    </row>
    <row r="73" customFormat="false" ht="15" hidden="false" customHeight="false" outlineLevel="0" collapsed="false">
      <c r="A73" s="1" t="n">
        <v>72</v>
      </c>
      <c r="B73" s="7" t="n">
        <v>45973</v>
      </c>
      <c r="C73" s="7" t="n">
        <v>45973</v>
      </c>
      <c r="D73" s="1" t="n">
        <v>1</v>
      </c>
    </row>
    <row r="74" customFormat="false" ht="15" hidden="false" customHeight="false" outlineLevel="0" collapsed="false">
      <c r="A74" s="1" t="n">
        <v>73</v>
      </c>
      <c r="B74" s="7" t="n">
        <v>45976</v>
      </c>
      <c r="C74" s="7" t="n">
        <v>45976</v>
      </c>
      <c r="D74" s="1" t="n">
        <v>0</v>
      </c>
    </row>
    <row r="75" customFormat="false" ht="15" hidden="false" customHeight="false" outlineLevel="0" collapsed="false">
      <c r="A75" s="1" t="n">
        <v>74</v>
      </c>
      <c r="B75" s="7" t="n">
        <v>45976</v>
      </c>
      <c r="C75" s="7" t="n">
        <v>45976</v>
      </c>
      <c r="D75" s="1" t="n">
        <v>0</v>
      </c>
    </row>
    <row r="76" customFormat="false" ht="15" hidden="false" customHeight="false" outlineLevel="0" collapsed="false">
      <c r="A76" s="1" t="n">
        <v>75</v>
      </c>
      <c r="B76" s="7" t="n">
        <v>45977</v>
      </c>
      <c r="C76" s="7" t="n">
        <v>45977</v>
      </c>
      <c r="D76" s="1" t="n">
        <v>1</v>
      </c>
    </row>
    <row r="77" customFormat="false" ht="15" hidden="false" customHeight="false" outlineLevel="0" collapsed="false">
      <c r="A77" s="1" t="n">
        <v>76</v>
      </c>
      <c r="B77" s="7" t="n">
        <v>45981</v>
      </c>
      <c r="C77" s="7" t="n">
        <v>45981</v>
      </c>
      <c r="D77" s="1" t="n">
        <v>0</v>
      </c>
    </row>
    <row r="78" customFormat="false" ht="15" hidden="false" customHeight="false" outlineLevel="0" collapsed="false">
      <c r="A78" s="1" t="n">
        <v>77</v>
      </c>
      <c r="B78" s="7" t="n">
        <v>45982</v>
      </c>
      <c r="C78" s="7" t="n">
        <v>45982</v>
      </c>
      <c r="D78" s="1" t="n">
        <v>1</v>
      </c>
    </row>
    <row r="79" customFormat="false" ht="15" hidden="false" customHeight="false" outlineLevel="0" collapsed="false">
      <c r="A79" s="1" t="n">
        <v>78</v>
      </c>
      <c r="B79" s="7" t="n">
        <v>45984</v>
      </c>
      <c r="C79" s="7" t="n">
        <v>45984</v>
      </c>
      <c r="D79" s="1" t="n">
        <v>0</v>
      </c>
    </row>
    <row r="80" customFormat="false" ht="15" hidden="false" customHeight="false" outlineLevel="0" collapsed="false">
      <c r="A80" s="1" t="n">
        <v>79</v>
      </c>
      <c r="B80" s="7" t="n">
        <v>45985</v>
      </c>
      <c r="C80" s="7" t="n">
        <v>45985</v>
      </c>
      <c r="D80" s="1" t="n">
        <v>1</v>
      </c>
    </row>
    <row r="81" customFormat="false" ht="15" hidden="false" customHeight="false" outlineLevel="0" collapsed="false">
      <c r="A81" s="1" t="n">
        <v>80</v>
      </c>
      <c r="B81" s="7" t="n">
        <v>45989</v>
      </c>
      <c r="C81" s="7" t="n">
        <v>45989</v>
      </c>
      <c r="D81" s="1" t="n">
        <v>0</v>
      </c>
    </row>
    <row r="82" customFormat="false" ht="15" hidden="false" customHeight="false" outlineLevel="0" collapsed="false">
      <c r="A82" s="1" t="n">
        <v>81</v>
      </c>
      <c r="B82" s="7" t="n">
        <v>45989</v>
      </c>
      <c r="C82" s="7" t="n">
        <v>45989</v>
      </c>
      <c r="D82" s="1" t="n">
        <v>0</v>
      </c>
    </row>
    <row r="83" customFormat="false" ht="15" hidden="false" customHeight="false" outlineLevel="0" collapsed="false">
      <c r="A83" s="1" t="n">
        <v>82</v>
      </c>
      <c r="B83" s="7" t="n">
        <v>45990</v>
      </c>
      <c r="C83" s="7" t="n">
        <v>45990</v>
      </c>
      <c r="D83" s="1" t="n">
        <v>0</v>
      </c>
    </row>
    <row r="84" customFormat="false" ht="15" hidden="false" customHeight="false" outlineLevel="0" collapsed="false">
      <c r="A84" s="1" t="n">
        <v>83</v>
      </c>
      <c r="B84" s="7" t="n">
        <v>45990</v>
      </c>
      <c r="C84" s="7" t="n">
        <v>45990</v>
      </c>
      <c r="D84" s="1" t="n">
        <v>0</v>
      </c>
    </row>
    <row r="85" customFormat="false" ht="15" hidden="false" customHeight="false" outlineLevel="0" collapsed="false">
      <c r="A85" s="1" t="n">
        <v>84</v>
      </c>
      <c r="B85" s="7" t="n">
        <v>45990</v>
      </c>
      <c r="C85" s="7" t="n">
        <v>45990</v>
      </c>
      <c r="D85" s="1" t="n">
        <v>0</v>
      </c>
    </row>
    <row r="86" customFormat="false" ht="15" hidden="false" customHeight="false" outlineLevel="0" collapsed="false">
      <c r="A86" s="1" t="n">
        <v>85</v>
      </c>
      <c r="B86" s="7" t="n">
        <v>45991</v>
      </c>
      <c r="C86" s="7" t="n">
        <v>45991</v>
      </c>
      <c r="D86" s="1" t="n">
        <v>0</v>
      </c>
    </row>
    <row r="87" customFormat="false" ht="15" hidden="false" customHeight="false" outlineLevel="0" collapsed="false">
      <c r="A87" s="1" t="n">
        <v>86</v>
      </c>
      <c r="B87" s="7" t="n">
        <v>45991</v>
      </c>
      <c r="C87" s="7" t="n">
        <v>45991</v>
      </c>
      <c r="D87" s="1" t="n">
        <v>0</v>
      </c>
    </row>
    <row r="88" customFormat="false" ht="15" hidden="false" customHeight="false" outlineLevel="0" collapsed="false">
      <c r="A88" s="1" t="n">
        <v>87</v>
      </c>
      <c r="B88" s="7" t="n">
        <v>45991</v>
      </c>
      <c r="C88" s="7" t="n">
        <v>45991</v>
      </c>
      <c r="D88" s="1" t="n">
        <v>1</v>
      </c>
    </row>
    <row r="89" customFormat="false" ht="15" hidden="false" customHeight="false" outlineLevel="0" collapsed="false">
      <c r="A89" s="1" t="n">
        <v>88</v>
      </c>
      <c r="B89" s="7" t="n">
        <v>45994</v>
      </c>
      <c r="C89" s="7" t="n">
        <v>45994</v>
      </c>
      <c r="D89" s="1" t="n">
        <v>0</v>
      </c>
    </row>
    <row r="90" customFormat="false" ht="15" hidden="false" customHeight="false" outlineLevel="0" collapsed="false">
      <c r="A90" s="1" t="n">
        <v>89</v>
      </c>
      <c r="B90" s="7" t="n">
        <v>45994</v>
      </c>
      <c r="C90" s="7" t="n">
        <v>45994</v>
      </c>
      <c r="D90" s="1" t="n">
        <v>0</v>
      </c>
    </row>
    <row r="91" customFormat="false" ht="15" hidden="false" customHeight="false" outlineLevel="0" collapsed="false">
      <c r="A91" s="1" t="n">
        <v>90</v>
      </c>
      <c r="B91" s="7" t="n">
        <v>45994</v>
      </c>
      <c r="C91" s="7" t="n">
        <v>45994</v>
      </c>
      <c r="D91" s="1" t="n">
        <v>0</v>
      </c>
    </row>
    <row r="92" customFormat="false" ht="15" hidden="false" customHeight="false" outlineLevel="0" collapsed="false">
      <c r="A92" s="1" t="n">
        <v>91</v>
      </c>
      <c r="B92" s="7" t="n">
        <v>45995</v>
      </c>
      <c r="C92" s="7" t="n">
        <v>45995</v>
      </c>
      <c r="D92" s="1" t="n">
        <v>0</v>
      </c>
    </row>
    <row r="93" customFormat="false" ht="15" hidden="false" customHeight="false" outlineLevel="0" collapsed="false">
      <c r="A93" s="1" t="n">
        <v>92</v>
      </c>
      <c r="B93" s="7" t="n">
        <v>45995</v>
      </c>
      <c r="C93" s="7" t="n">
        <v>45995</v>
      </c>
      <c r="D93" s="1" t="n">
        <v>0</v>
      </c>
    </row>
    <row r="94" customFormat="false" ht="15" hidden="false" customHeight="false" outlineLevel="0" collapsed="false">
      <c r="A94" s="1" t="n">
        <v>93</v>
      </c>
      <c r="B94" s="7" t="n">
        <v>45996</v>
      </c>
      <c r="C94" s="7" t="n">
        <v>45996</v>
      </c>
      <c r="D94" s="1" t="n">
        <v>0</v>
      </c>
    </row>
    <row r="95" customFormat="false" ht="15" hidden="false" customHeight="false" outlineLevel="0" collapsed="false">
      <c r="A95" s="1" t="n">
        <v>94</v>
      </c>
      <c r="B95" s="7" t="n">
        <v>45996</v>
      </c>
      <c r="C95" s="7" t="n">
        <v>45996</v>
      </c>
      <c r="D95" s="1" t="n">
        <v>0</v>
      </c>
    </row>
    <row r="96" customFormat="false" ht="15" hidden="false" customHeight="false" outlineLevel="0" collapsed="false">
      <c r="A96" s="1" t="n">
        <v>95</v>
      </c>
      <c r="B96" s="7" t="n">
        <v>45996</v>
      </c>
      <c r="C96" s="7" t="n">
        <v>45996</v>
      </c>
      <c r="D96" s="1" t="n">
        <v>0</v>
      </c>
    </row>
    <row r="97" customFormat="false" ht="15" hidden="false" customHeight="false" outlineLevel="0" collapsed="false">
      <c r="A97" s="1" t="n">
        <v>96</v>
      </c>
      <c r="B97" s="7" t="n">
        <v>45997</v>
      </c>
      <c r="C97" s="7" t="n">
        <v>45997</v>
      </c>
      <c r="D97" s="1" t="n">
        <v>1</v>
      </c>
    </row>
    <row r="98" customFormat="false" ht="15" hidden="false" customHeight="false" outlineLevel="0" collapsed="false">
      <c r="A98" s="1" t="n">
        <v>97</v>
      </c>
      <c r="B98" s="7" t="n">
        <v>46000</v>
      </c>
      <c r="C98" s="7" t="n">
        <v>46000</v>
      </c>
      <c r="D98" s="1" t="n">
        <v>0</v>
      </c>
    </row>
    <row r="99" customFormat="false" ht="15" hidden="false" customHeight="false" outlineLevel="0" collapsed="false">
      <c r="A99" s="1" t="n">
        <v>98</v>
      </c>
      <c r="B99" s="7" t="n">
        <v>46001</v>
      </c>
      <c r="C99" s="7" t="n">
        <v>46001</v>
      </c>
      <c r="D99" s="1" t="n">
        <v>0</v>
      </c>
    </row>
    <row r="100" customFormat="false" ht="15" hidden="false" customHeight="false" outlineLevel="0" collapsed="false">
      <c r="A100" s="1" t="n">
        <v>99</v>
      </c>
      <c r="B100" s="7" t="n">
        <v>46001</v>
      </c>
      <c r="C100" s="7" t="n">
        <v>46001</v>
      </c>
      <c r="D100" s="1" t="n">
        <v>1</v>
      </c>
    </row>
    <row r="101" customFormat="false" ht="15" hidden="false" customHeight="false" outlineLevel="0" collapsed="false">
      <c r="A101" s="1" t="n">
        <v>100</v>
      </c>
      <c r="B101" s="7" t="n">
        <v>46006</v>
      </c>
      <c r="C101" s="7" t="n">
        <v>46006</v>
      </c>
      <c r="D101" s="1" t="n">
        <v>0</v>
      </c>
    </row>
    <row r="102" customFormat="false" ht="15" hidden="false" customHeight="false" outlineLevel="0" collapsed="false">
      <c r="A102" s="1" t="n">
        <v>101</v>
      </c>
      <c r="B102" s="7" t="n">
        <v>46006</v>
      </c>
      <c r="C102" s="7" t="n">
        <v>46006</v>
      </c>
      <c r="D102" s="1" t="n">
        <v>0</v>
      </c>
    </row>
    <row r="103" customFormat="false" ht="15" hidden="false" customHeight="false" outlineLevel="0" collapsed="false">
      <c r="A103" s="1" t="n">
        <v>102</v>
      </c>
      <c r="B103" s="7" t="n">
        <v>46006</v>
      </c>
      <c r="C103" s="7" t="n">
        <v>46006</v>
      </c>
      <c r="D103" s="1" t="n">
        <v>0</v>
      </c>
    </row>
    <row r="104" customFormat="false" ht="15" hidden="false" customHeight="false" outlineLevel="0" collapsed="false">
      <c r="A104" s="1" t="n">
        <v>103</v>
      </c>
      <c r="B104" s="7" t="n">
        <v>46007</v>
      </c>
      <c r="C104" s="7" t="n">
        <v>46007</v>
      </c>
      <c r="D104" s="1" t="n">
        <v>0</v>
      </c>
    </row>
    <row r="105" customFormat="false" ht="15" hidden="false" customHeight="false" outlineLevel="0" collapsed="false">
      <c r="A105" s="1" t="n">
        <v>104</v>
      </c>
      <c r="B105" s="7" t="n">
        <v>46007</v>
      </c>
      <c r="C105" s="7" t="n">
        <v>46007</v>
      </c>
      <c r="D105" s="1" t="n">
        <v>1</v>
      </c>
    </row>
    <row r="106" customFormat="false" ht="15" hidden="false" customHeight="false" outlineLevel="0" collapsed="false">
      <c r="A106" s="1" t="n">
        <v>105</v>
      </c>
      <c r="B106" s="7" t="n">
        <v>46012</v>
      </c>
      <c r="C106" s="7" t="n">
        <v>46012</v>
      </c>
      <c r="D106" s="1" t="n">
        <v>0</v>
      </c>
    </row>
    <row r="107" customFormat="false" ht="15" hidden="false" customHeight="false" outlineLevel="0" collapsed="false">
      <c r="A107" s="1" t="n">
        <v>106</v>
      </c>
      <c r="B107" s="7" t="n">
        <v>46013</v>
      </c>
      <c r="C107" s="7" t="n">
        <v>46013</v>
      </c>
      <c r="D107" s="1" t="n">
        <v>0</v>
      </c>
    </row>
    <row r="108" customFormat="false" ht="15" hidden="false" customHeight="false" outlineLevel="0" collapsed="false">
      <c r="A108" s="1" t="n">
        <v>107</v>
      </c>
      <c r="B108" s="7" t="n">
        <v>46013</v>
      </c>
      <c r="C108" s="7" t="n">
        <v>46013</v>
      </c>
      <c r="D108" s="1" t="n">
        <v>1</v>
      </c>
    </row>
    <row r="109" customFormat="false" ht="15" hidden="false" customHeight="false" outlineLevel="0" collapsed="false">
      <c r="A109" s="1" t="n">
        <v>108</v>
      </c>
      <c r="B109" s="7" t="n">
        <v>46016</v>
      </c>
      <c r="C109" s="7" t="n">
        <v>46016</v>
      </c>
      <c r="D109" s="1" t="n">
        <v>0</v>
      </c>
    </row>
    <row r="110" customFormat="false" ht="15" hidden="false" customHeight="false" outlineLevel="0" collapsed="false">
      <c r="A110" s="1" t="n">
        <v>109</v>
      </c>
      <c r="B110" s="7" t="n">
        <v>46017</v>
      </c>
      <c r="C110" s="7" t="n">
        <v>46017</v>
      </c>
      <c r="D110" s="1" t="n">
        <v>1</v>
      </c>
    </row>
    <row r="111" customFormat="false" ht="15" hidden="false" customHeight="false" outlineLevel="0" collapsed="false">
      <c r="A111" s="1" t="n">
        <v>110</v>
      </c>
      <c r="B111" s="7" t="n">
        <v>46020</v>
      </c>
      <c r="C111" s="7" t="n">
        <v>46020</v>
      </c>
      <c r="D111" s="1" t="n">
        <v>0</v>
      </c>
    </row>
    <row r="112" customFormat="false" ht="15" hidden="false" customHeight="false" outlineLevel="0" collapsed="false">
      <c r="A112" s="1" t="n">
        <v>111</v>
      </c>
      <c r="B112" s="7" t="n">
        <v>46021</v>
      </c>
      <c r="C112" s="7" t="n">
        <v>46021</v>
      </c>
      <c r="D112" s="1" t="n">
        <v>1</v>
      </c>
    </row>
    <row r="113" customFormat="false" ht="15" hidden="false" customHeight="false" outlineLevel="0" collapsed="false">
      <c r="A113" s="1" t="n">
        <v>112</v>
      </c>
      <c r="B113" s="7" t="n">
        <v>46026</v>
      </c>
      <c r="C113" s="7" t="n">
        <v>46026</v>
      </c>
      <c r="D113" s="1" t="n">
        <v>0</v>
      </c>
    </row>
    <row r="114" customFormat="false" ht="15" hidden="false" customHeight="false" outlineLevel="0" collapsed="false">
      <c r="A114" s="1" t="n">
        <v>113</v>
      </c>
      <c r="B114" s="7" t="n">
        <v>46026</v>
      </c>
      <c r="C114" s="7" t="n">
        <v>46026</v>
      </c>
      <c r="D114" s="1" t="n">
        <v>0</v>
      </c>
    </row>
    <row r="115" customFormat="false" ht="15" hidden="false" customHeight="false" outlineLevel="0" collapsed="false">
      <c r="A115" s="1" t="n">
        <v>114</v>
      </c>
      <c r="B115" s="7" t="n">
        <v>46026</v>
      </c>
      <c r="C115" s="7" t="n">
        <v>46026</v>
      </c>
      <c r="D115" s="1" t="n">
        <v>0</v>
      </c>
    </row>
    <row r="116" customFormat="false" ht="15" hidden="false" customHeight="false" outlineLevel="0" collapsed="false">
      <c r="A116" s="1" t="n">
        <v>115</v>
      </c>
      <c r="B116" s="7" t="n">
        <v>46027</v>
      </c>
      <c r="C116" s="7" t="n">
        <v>46027</v>
      </c>
      <c r="D116" s="1" t="n">
        <v>0</v>
      </c>
    </row>
    <row r="117" customFormat="false" ht="15" hidden="false" customHeight="false" outlineLevel="0" collapsed="false">
      <c r="A117" s="1" t="n">
        <v>116</v>
      </c>
      <c r="B117" s="7" t="n">
        <v>46027</v>
      </c>
      <c r="C117" s="7" t="n">
        <v>46027</v>
      </c>
      <c r="D117" s="1" t="n">
        <v>0</v>
      </c>
    </row>
    <row r="118" customFormat="false" ht="15" hidden="false" customHeight="false" outlineLevel="0" collapsed="false">
      <c r="A118" s="1" t="n">
        <v>117</v>
      </c>
      <c r="B118" s="7" t="n">
        <v>46027</v>
      </c>
      <c r="C118" s="7" t="n">
        <v>46027</v>
      </c>
      <c r="D118" s="1" t="n">
        <v>1</v>
      </c>
    </row>
    <row r="119" customFormat="false" ht="15" hidden="false" customHeight="false" outlineLevel="0" collapsed="false">
      <c r="A119" s="1" t="n">
        <v>118</v>
      </c>
      <c r="B119" s="7" t="n">
        <v>46032</v>
      </c>
      <c r="C119" s="7" t="n">
        <v>46032</v>
      </c>
      <c r="D119" s="1" t="n">
        <v>0</v>
      </c>
    </row>
    <row r="120" customFormat="false" ht="15" hidden="false" customHeight="false" outlineLevel="0" collapsed="false">
      <c r="A120" s="1" t="n">
        <v>119</v>
      </c>
      <c r="B120" s="7" t="n">
        <v>46032</v>
      </c>
      <c r="C120" s="7" t="n">
        <v>46032</v>
      </c>
      <c r="D120" s="1" t="n">
        <v>0</v>
      </c>
    </row>
    <row r="121" customFormat="false" ht="15" hidden="false" customHeight="false" outlineLevel="0" collapsed="false">
      <c r="A121" s="1" t="n">
        <v>120</v>
      </c>
      <c r="B121" s="7" t="n">
        <v>46032</v>
      </c>
      <c r="C121" s="7" t="n">
        <v>46032</v>
      </c>
      <c r="D121" s="1" t="n">
        <v>1</v>
      </c>
    </row>
    <row r="122" customFormat="false" ht="15" hidden="false" customHeight="false" outlineLevel="0" collapsed="false">
      <c r="A122" s="1" t="n">
        <v>121</v>
      </c>
      <c r="B122" s="7" t="n">
        <v>46036</v>
      </c>
      <c r="C122" s="7" t="n">
        <v>46036</v>
      </c>
      <c r="D122" s="1" t="n">
        <v>0</v>
      </c>
    </row>
    <row r="123" customFormat="false" ht="15" hidden="false" customHeight="false" outlineLevel="0" collapsed="false">
      <c r="A123" s="1" t="n">
        <v>122</v>
      </c>
      <c r="B123" s="7" t="n">
        <v>46037</v>
      </c>
      <c r="C123" s="7" t="n">
        <v>46037</v>
      </c>
      <c r="D123" s="1" t="n">
        <v>0</v>
      </c>
    </row>
    <row r="124" customFormat="false" ht="15" hidden="false" customHeight="false" outlineLevel="0" collapsed="false">
      <c r="A124" s="1" t="n">
        <v>123</v>
      </c>
      <c r="B124" s="7" t="n">
        <v>46037</v>
      </c>
      <c r="C124" s="7" t="n">
        <v>46037</v>
      </c>
      <c r="D124" s="1" t="n">
        <v>0</v>
      </c>
    </row>
    <row r="125" customFormat="false" ht="15" hidden="false" customHeight="false" outlineLevel="0" collapsed="false">
      <c r="A125" s="1" t="n">
        <v>124</v>
      </c>
      <c r="B125" s="7" t="n">
        <v>46037</v>
      </c>
      <c r="C125" s="7" t="n">
        <v>46037</v>
      </c>
      <c r="D125" s="1" t="n">
        <v>0</v>
      </c>
    </row>
    <row r="126" customFormat="false" ht="15" hidden="false" customHeight="false" outlineLevel="0" collapsed="false">
      <c r="A126" s="1" t="n">
        <v>125</v>
      </c>
      <c r="B126" s="7" t="n">
        <v>46038</v>
      </c>
      <c r="C126" s="7" t="n">
        <v>46038</v>
      </c>
      <c r="D126" s="1" t="n">
        <v>0</v>
      </c>
    </row>
    <row r="127" customFormat="false" ht="15" hidden="false" customHeight="false" outlineLevel="0" collapsed="false">
      <c r="A127" s="1" t="n">
        <v>126</v>
      </c>
      <c r="B127" s="7" t="n">
        <v>46038</v>
      </c>
      <c r="C127" s="7" t="n">
        <v>46038</v>
      </c>
      <c r="D127" s="1" t="n">
        <v>0</v>
      </c>
    </row>
    <row r="128" customFormat="false" ht="15" hidden="false" customHeight="false" outlineLevel="0" collapsed="false">
      <c r="A128" s="1" t="n">
        <v>127</v>
      </c>
      <c r="B128" s="7" t="n">
        <v>46038</v>
      </c>
      <c r="C128" s="7" t="n">
        <v>46038</v>
      </c>
      <c r="D128" s="1" t="n">
        <v>0</v>
      </c>
    </row>
    <row r="129" customFormat="false" ht="15" hidden="false" customHeight="false" outlineLevel="0" collapsed="false">
      <c r="A129" s="1" t="n">
        <v>128</v>
      </c>
      <c r="B129" s="7" t="n">
        <v>46039</v>
      </c>
      <c r="C129" s="7" t="n">
        <v>46039</v>
      </c>
      <c r="D129" s="1" t="n">
        <v>0</v>
      </c>
    </row>
    <row r="130" customFormat="false" ht="15" hidden="false" customHeight="false" outlineLevel="0" collapsed="false">
      <c r="A130" s="1" t="n">
        <v>129</v>
      </c>
      <c r="B130" s="7" t="n">
        <v>46039</v>
      </c>
      <c r="C130" s="7" t="n">
        <v>46039</v>
      </c>
      <c r="D130" s="1" t="n">
        <v>0</v>
      </c>
    </row>
    <row r="131" customFormat="false" ht="15" hidden="false" customHeight="false" outlineLevel="0" collapsed="false">
      <c r="A131" s="1" t="n">
        <v>130</v>
      </c>
      <c r="B131" s="7" t="n">
        <v>46039</v>
      </c>
      <c r="C131" s="7" t="n">
        <v>46039</v>
      </c>
      <c r="D131" s="1" t="n">
        <v>0</v>
      </c>
    </row>
    <row r="132" customFormat="false" ht="15" hidden="false" customHeight="false" outlineLevel="0" collapsed="false">
      <c r="A132" s="1" t="n">
        <v>131</v>
      </c>
      <c r="B132" s="7" t="n">
        <v>46040</v>
      </c>
      <c r="C132" s="7" t="n">
        <v>46040</v>
      </c>
      <c r="D132" s="1" t="n">
        <v>0</v>
      </c>
    </row>
    <row r="133" customFormat="false" ht="15" hidden="false" customHeight="false" outlineLevel="0" collapsed="false">
      <c r="A133" s="1" t="n">
        <v>132</v>
      </c>
      <c r="B133" s="7" t="n">
        <v>46040</v>
      </c>
      <c r="C133" s="7" t="n">
        <v>46040</v>
      </c>
      <c r="D133" s="1" t="n">
        <v>0</v>
      </c>
    </row>
    <row r="134" customFormat="false" ht="15" hidden="false" customHeight="false" outlineLevel="0" collapsed="false">
      <c r="A134" s="1" t="n">
        <v>133</v>
      </c>
      <c r="B134" s="7" t="n">
        <v>46041</v>
      </c>
      <c r="C134" s="7" t="n">
        <v>46041</v>
      </c>
      <c r="D134" s="1" t="n">
        <v>0</v>
      </c>
    </row>
    <row r="135" customFormat="false" ht="15" hidden="false" customHeight="false" outlineLevel="0" collapsed="false">
      <c r="A135" s="1" t="n">
        <v>134</v>
      </c>
      <c r="B135" s="7" t="n">
        <v>46041</v>
      </c>
      <c r="C135" s="7" t="n">
        <v>46041</v>
      </c>
      <c r="D135" s="1" t="n">
        <v>0</v>
      </c>
    </row>
    <row r="136" customFormat="false" ht="15" hidden="false" customHeight="false" outlineLevel="0" collapsed="false">
      <c r="A136" s="1" t="n">
        <v>135</v>
      </c>
      <c r="B136" s="7" t="n">
        <v>46041</v>
      </c>
      <c r="C136" s="7" t="n">
        <v>46041</v>
      </c>
      <c r="D136" s="1" t="n">
        <v>0</v>
      </c>
    </row>
    <row r="137" customFormat="false" ht="15" hidden="false" customHeight="false" outlineLevel="0" collapsed="false">
      <c r="A137" s="1" t="n">
        <v>136</v>
      </c>
      <c r="B137" s="7" t="n">
        <v>46042</v>
      </c>
      <c r="C137" s="7" t="n">
        <v>46042</v>
      </c>
      <c r="D137" s="1" t="n">
        <v>1</v>
      </c>
    </row>
    <row r="138" customFormat="false" ht="15" hidden="false" customHeight="false" outlineLevel="0" collapsed="false">
      <c r="A138" s="1" t="n">
        <v>137</v>
      </c>
      <c r="B138" s="7" t="n">
        <v>46045</v>
      </c>
      <c r="C138" s="7" t="n">
        <v>46045</v>
      </c>
      <c r="D138" s="1" t="n">
        <v>0</v>
      </c>
    </row>
    <row r="139" customFormat="false" ht="15" hidden="false" customHeight="false" outlineLevel="0" collapsed="false">
      <c r="A139" s="1" t="n">
        <v>138</v>
      </c>
      <c r="B139" s="7" t="n">
        <v>46046</v>
      </c>
      <c r="C139" s="7" t="n">
        <v>46046</v>
      </c>
      <c r="D139" s="1" t="n">
        <v>0</v>
      </c>
    </row>
    <row r="140" customFormat="false" ht="15" hidden="false" customHeight="false" outlineLevel="0" collapsed="false">
      <c r="A140" s="1" t="n">
        <v>139</v>
      </c>
      <c r="B140" s="7" t="n">
        <v>46046</v>
      </c>
      <c r="C140" s="7" t="n">
        <v>46046</v>
      </c>
      <c r="D140" s="1" t="n">
        <v>1</v>
      </c>
    </row>
    <row r="141" customFormat="false" ht="15" hidden="false" customHeight="false" outlineLevel="0" collapsed="false">
      <c r="A141" s="1" t="n">
        <v>140</v>
      </c>
      <c r="B141" s="7" t="n">
        <v>46050</v>
      </c>
      <c r="C141" s="7" t="n">
        <v>46050</v>
      </c>
      <c r="D141" s="1" t="n">
        <v>0</v>
      </c>
    </row>
    <row r="142" customFormat="false" ht="15" hidden="false" customHeight="false" outlineLevel="0" collapsed="false">
      <c r="A142" s="1" t="n">
        <v>141</v>
      </c>
      <c r="B142" s="7" t="n">
        <v>46051</v>
      </c>
      <c r="C142" s="7" t="n">
        <v>46051</v>
      </c>
      <c r="D142" s="1" t="n">
        <v>0</v>
      </c>
    </row>
    <row r="143" customFormat="false" ht="15" hidden="false" customHeight="false" outlineLevel="0" collapsed="false">
      <c r="A143" s="1" t="n">
        <v>142</v>
      </c>
      <c r="B143" s="7" t="n">
        <v>46051</v>
      </c>
      <c r="C143" s="7" t="n">
        <v>46051</v>
      </c>
      <c r="D143" s="1" t="n">
        <v>0</v>
      </c>
    </row>
    <row r="144" customFormat="false" ht="15" hidden="false" customHeight="false" outlineLevel="0" collapsed="false">
      <c r="A144" s="1" t="n">
        <v>143</v>
      </c>
      <c r="B144" s="7" t="n">
        <v>46051</v>
      </c>
      <c r="C144" s="7" t="n">
        <v>46051</v>
      </c>
      <c r="D144" s="1" t="n">
        <v>1</v>
      </c>
    </row>
    <row r="145" customFormat="false" ht="15" hidden="false" customHeight="false" outlineLevel="0" collapsed="false">
      <c r="A145" s="1" t="n">
        <v>144</v>
      </c>
      <c r="B145" s="7" t="n">
        <v>46054</v>
      </c>
      <c r="C145" s="7" t="n">
        <v>46054</v>
      </c>
      <c r="D145" s="1" t="n">
        <v>0</v>
      </c>
    </row>
    <row r="146" customFormat="false" ht="15" hidden="false" customHeight="false" outlineLevel="0" collapsed="false">
      <c r="A146" s="1" t="n">
        <v>145</v>
      </c>
      <c r="B146" s="7" t="n">
        <v>46054</v>
      </c>
      <c r="C146" s="7" t="n">
        <v>46054</v>
      </c>
      <c r="D146" s="1" t="n">
        <v>0</v>
      </c>
    </row>
    <row r="147" customFormat="false" ht="15" hidden="false" customHeight="false" outlineLevel="0" collapsed="false">
      <c r="A147" s="1" t="n">
        <v>146</v>
      </c>
      <c r="B147" s="7" t="n">
        <v>46055</v>
      </c>
      <c r="C147" s="7" t="n">
        <v>46055</v>
      </c>
      <c r="D147" s="1" t="n">
        <v>0</v>
      </c>
    </row>
    <row r="148" customFormat="false" ht="15" hidden="false" customHeight="false" outlineLevel="0" collapsed="false">
      <c r="A148" s="1" t="n">
        <v>147</v>
      </c>
      <c r="B148" s="7" t="n">
        <v>46055</v>
      </c>
      <c r="C148" s="7" t="n">
        <v>46055</v>
      </c>
      <c r="D148" s="1" t="n">
        <v>0</v>
      </c>
    </row>
    <row r="149" customFormat="false" ht="15" hidden="false" customHeight="false" outlineLevel="0" collapsed="false">
      <c r="A149" s="1" t="n">
        <v>148</v>
      </c>
      <c r="B149" s="7" t="n">
        <v>46055</v>
      </c>
      <c r="C149" s="7" t="n">
        <v>46055</v>
      </c>
      <c r="D149" s="1" t="n">
        <v>0</v>
      </c>
    </row>
    <row r="150" customFormat="false" ht="15" hidden="false" customHeight="false" outlineLevel="0" collapsed="false">
      <c r="A150" s="1" t="n">
        <v>149</v>
      </c>
      <c r="B150" s="7" t="n">
        <v>46056</v>
      </c>
      <c r="C150" s="7" t="n">
        <v>46056</v>
      </c>
      <c r="D150" s="1" t="n">
        <v>0</v>
      </c>
    </row>
    <row r="151" customFormat="false" ht="15" hidden="false" customHeight="false" outlineLevel="0" collapsed="false">
      <c r="A151" s="1" t="n">
        <v>150</v>
      </c>
      <c r="B151" s="7" t="n">
        <v>46056</v>
      </c>
      <c r="C151" s="7" t="n">
        <v>46056</v>
      </c>
      <c r="D151" s="1" t="n">
        <v>0</v>
      </c>
    </row>
    <row r="152" customFormat="false" ht="15" hidden="false" customHeight="false" outlineLevel="0" collapsed="false">
      <c r="A152" s="1" t="n">
        <v>151</v>
      </c>
      <c r="B152" s="7" t="n">
        <v>46056</v>
      </c>
      <c r="C152" s="7" t="n">
        <v>46056</v>
      </c>
      <c r="D152" s="1" t="n">
        <v>0</v>
      </c>
    </row>
    <row r="153" customFormat="false" ht="15" hidden="false" customHeight="false" outlineLevel="0" collapsed="false">
      <c r="A153" s="1" t="n">
        <v>152</v>
      </c>
      <c r="B153" s="7" t="n">
        <v>46057</v>
      </c>
      <c r="C153" s="7" t="n">
        <v>46057</v>
      </c>
      <c r="D153" s="1" t="n">
        <v>0</v>
      </c>
    </row>
    <row r="154" customFormat="false" ht="15" hidden="false" customHeight="false" outlineLevel="0" collapsed="false">
      <c r="A154" s="1" t="n">
        <v>153</v>
      </c>
      <c r="B154" s="7" t="n">
        <v>46057</v>
      </c>
      <c r="C154" s="7" t="n">
        <v>46057</v>
      </c>
      <c r="D154" s="1" t="n">
        <v>1</v>
      </c>
    </row>
    <row r="155" customFormat="false" ht="15" hidden="false" customHeight="false" outlineLevel="0" collapsed="false">
      <c r="A155" s="1" t="n">
        <v>154</v>
      </c>
      <c r="B155" s="7" t="n">
        <v>46062</v>
      </c>
      <c r="C155" s="7" t="n">
        <v>46062</v>
      </c>
      <c r="D155" s="1" t="n">
        <v>0</v>
      </c>
    </row>
    <row r="156" customFormat="false" ht="15" hidden="false" customHeight="false" outlineLevel="0" collapsed="false">
      <c r="A156" s="1" t="n">
        <v>155</v>
      </c>
      <c r="B156" s="7" t="n">
        <v>46062</v>
      </c>
      <c r="C156" s="7" t="n">
        <v>46062</v>
      </c>
      <c r="D156" s="1" t="n">
        <v>0</v>
      </c>
    </row>
    <row r="157" customFormat="false" ht="15" hidden="false" customHeight="false" outlineLevel="0" collapsed="false">
      <c r="A157" s="1" t="n">
        <v>156</v>
      </c>
      <c r="B157" s="7" t="n">
        <v>46062</v>
      </c>
      <c r="C157" s="7" t="n">
        <v>46062</v>
      </c>
      <c r="D157" s="1" t="n">
        <v>0</v>
      </c>
    </row>
    <row r="158" customFormat="false" ht="15" hidden="false" customHeight="false" outlineLevel="0" collapsed="false">
      <c r="A158" s="1" t="n">
        <v>157</v>
      </c>
      <c r="B158" s="7" t="n">
        <v>46063</v>
      </c>
      <c r="C158" s="7" t="n">
        <v>46063</v>
      </c>
      <c r="D158" s="1" t="n">
        <v>0</v>
      </c>
    </row>
    <row r="159" customFormat="false" ht="15" hidden="false" customHeight="false" outlineLevel="0" collapsed="false">
      <c r="A159" s="1" t="n">
        <v>158</v>
      </c>
      <c r="B159" s="7" t="n">
        <v>46063</v>
      </c>
      <c r="C159" s="7" t="n">
        <v>46063</v>
      </c>
      <c r="D159" s="1" t="n">
        <v>0</v>
      </c>
    </row>
    <row r="160" customFormat="false" ht="15" hidden="false" customHeight="false" outlineLevel="0" collapsed="false">
      <c r="A160" s="1" t="n">
        <v>159</v>
      </c>
      <c r="B160" s="7" t="n">
        <v>46063</v>
      </c>
      <c r="C160" s="7" t="n">
        <v>46063</v>
      </c>
      <c r="D160" s="1" t="n">
        <v>1</v>
      </c>
    </row>
    <row r="161" customFormat="false" ht="15" hidden="false" customHeight="false" outlineLevel="0" collapsed="false">
      <c r="A161" s="1" t="n">
        <v>160</v>
      </c>
      <c r="B161" s="7" t="n">
        <v>46067</v>
      </c>
      <c r="C161" s="7" t="n">
        <v>46067</v>
      </c>
      <c r="D161" s="1" t="n">
        <v>0</v>
      </c>
    </row>
    <row r="162" customFormat="false" ht="15" hidden="false" customHeight="false" outlineLevel="0" collapsed="false">
      <c r="A162" s="1" t="n">
        <v>161</v>
      </c>
      <c r="B162" s="7" t="n">
        <v>46067</v>
      </c>
      <c r="C162" s="7" t="n">
        <v>46067</v>
      </c>
      <c r="D162" s="1" t="n">
        <v>0</v>
      </c>
    </row>
    <row r="163" customFormat="false" ht="15" hidden="false" customHeight="false" outlineLevel="0" collapsed="false">
      <c r="A163" s="1" t="n">
        <v>162</v>
      </c>
      <c r="B163" s="7" t="n">
        <v>46068</v>
      </c>
      <c r="C163" s="7" t="n">
        <v>46068</v>
      </c>
      <c r="D163" s="1" t="n">
        <v>0</v>
      </c>
    </row>
    <row r="164" customFormat="false" ht="15" hidden="false" customHeight="false" outlineLevel="0" collapsed="false">
      <c r="A164" s="1" t="n">
        <v>163</v>
      </c>
      <c r="B164" s="7" t="n">
        <v>46068</v>
      </c>
      <c r="C164" s="7" t="n">
        <v>46068</v>
      </c>
      <c r="D164" s="1" t="n">
        <v>0</v>
      </c>
    </row>
    <row r="165" customFormat="false" ht="15" hidden="false" customHeight="false" outlineLevel="0" collapsed="false">
      <c r="A165" s="1" t="n">
        <v>164</v>
      </c>
      <c r="B165" s="7" t="n">
        <v>46068</v>
      </c>
      <c r="C165" s="7" t="n">
        <v>46068</v>
      </c>
      <c r="D165" s="1" t="n">
        <v>1</v>
      </c>
    </row>
    <row r="166" customFormat="false" ht="15" hidden="false" customHeight="false" outlineLevel="0" collapsed="false">
      <c r="A166" s="1" t="n">
        <v>165</v>
      </c>
      <c r="B166" s="7" t="n">
        <v>46071</v>
      </c>
      <c r="C166" s="7" t="n">
        <v>46071</v>
      </c>
      <c r="D166" s="1" t="n">
        <v>0</v>
      </c>
    </row>
    <row r="167" customFormat="false" ht="15" hidden="false" customHeight="false" outlineLevel="0" collapsed="false">
      <c r="A167" s="1" t="n">
        <v>166</v>
      </c>
      <c r="B167" s="7" t="n">
        <v>46071</v>
      </c>
      <c r="C167" s="7" t="n">
        <v>46071</v>
      </c>
      <c r="D167" s="1" t="n">
        <v>0</v>
      </c>
    </row>
    <row r="168" customFormat="false" ht="15" hidden="false" customHeight="false" outlineLevel="0" collapsed="false">
      <c r="A168" s="1" t="n">
        <v>167</v>
      </c>
      <c r="B168" s="7" t="n">
        <v>46071</v>
      </c>
      <c r="C168" s="7" t="n">
        <v>46071</v>
      </c>
      <c r="D168" s="1" t="n">
        <v>0</v>
      </c>
    </row>
    <row r="169" customFormat="false" ht="15" hidden="false" customHeight="false" outlineLevel="0" collapsed="false">
      <c r="A169" s="1" t="n">
        <v>168</v>
      </c>
      <c r="B169" s="7" t="n">
        <v>46072</v>
      </c>
      <c r="C169" s="7" t="n">
        <v>46072</v>
      </c>
      <c r="D169" s="1" t="n">
        <v>0</v>
      </c>
    </row>
    <row r="170" customFormat="false" ht="15" hidden="false" customHeight="false" outlineLevel="0" collapsed="false">
      <c r="A170" s="1" t="n">
        <v>169</v>
      </c>
      <c r="B170" s="7" t="n">
        <v>46072</v>
      </c>
      <c r="C170" s="7" t="n">
        <v>46072</v>
      </c>
      <c r="D170" s="1" t="n">
        <v>0</v>
      </c>
    </row>
    <row r="171" customFormat="false" ht="15" hidden="false" customHeight="false" outlineLevel="0" collapsed="false">
      <c r="A171" s="1" t="n">
        <v>170</v>
      </c>
      <c r="B171" s="7" t="n">
        <v>46072</v>
      </c>
      <c r="C171" s="7" t="n">
        <v>46072</v>
      </c>
      <c r="D171" s="1" t="n">
        <v>0</v>
      </c>
    </row>
    <row r="172" customFormat="false" ht="15" hidden="false" customHeight="false" outlineLevel="0" collapsed="false">
      <c r="A172" s="1" t="n">
        <v>171</v>
      </c>
      <c r="B172" s="7" t="n">
        <v>46073</v>
      </c>
      <c r="C172" s="7" t="n">
        <v>46073</v>
      </c>
      <c r="D172" s="1" t="n">
        <v>0</v>
      </c>
    </row>
    <row r="173" customFormat="false" ht="15" hidden="false" customHeight="false" outlineLevel="0" collapsed="false">
      <c r="A173" s="1" t="n">
        <v>172</v>
      </c>
      <c r="B173" s="7" t="n">
        <v>46073</v>
      </c>
      <c r="C173" s="7" t="n">
        <v>46073</v>
      </c>
      <c r="D173" s="1" t="n">
        <v>0</v>
      </c>
    </row>
    <row r="174" customFormat="false" ht="15" hidden="false" customHeight="false" outlineLevel="0" collapsed="false">
      <c r="A174" s="1" t="n">
        <v>173</v>
      </c>
      <c r="B174" s="7" t="n">
        <v>46073</v>
      </c>
      <c r="C174" s="7" t="n">
        <v>46073</v>
      </c>
      <c r="D174" s="1" t="n">
        <v>0</v>
      </c>
    </row>
    <row r="175" customFormat="false" ht="15" hidden="false" customHeight="false" outlineLevel="0" collapsed="false">
      <c r="A175" s="1" t="n">
        <v>174</v>
      </c>
      <c r="B175" s="7" t="n">
        <v>46074</v>
      </c>
      <c r="C175" s="7" t="n">
        <v>46074</v>
      </c>
      <c r="D175" s="1" t="n">
        <v>0</v>
      </c>
    </row>
    <row r="176" customFormat="false" ht="15" hidden="false" customHeight="false" outlineLevel="0" collapsed="false">
      <c r="A176" s="1" t="n">
        <v>175</v>
      </c>
      <c r="B176" s="7" t="n">
        <v>46074</v>
      </c>
      <c r="C176" s="7" t="n">
        <v>46074</v>
      </c>
      <c r="D176" s="1" t="n">
        <v>0</v>
      </c>
    </row>
    <row r="177" customFormat="false" ht="15" hidden="false" customHeight="false" outlineLevel="0" collapsed="false">
      <c r="A177" s="1" t="n">
        <v>176</v>
      </c>
      <c r="B177" s="7" t="n">
        <v>46075</v>
      </c>
      <c r="C177" s="7" t="n">
        <v>46075</v>
      </c>
      <c r="D177" s="1" t="n">
        <v>0</v>
      </c>
    </row>
    <row r="178" customFormat="false" ht="15" hidden="false" customHeight="false" outlineLevel="0" collapsed="false">
      <c r="A178" s="1" t="n">
        <v>177</v>
      </c>
      <c r="B178" s="7" t="n">
        <v>46075</v>
      </c>
      <c r="C178" s="7" t="n">
        <v>46075</v>
      </c>
      <c r="D178" s="1" t="n">
        <v>0</v>
      </c>
    </row>
    <row r="179" customFormat="false" ht="15" hidden="false" customHeight="false" outlineLevel="0" collapsed="false">
      <c r="A179" s="1" t="n">
        <v>178</v>
      </c>
      <c r="B179" s="7" t="n">
        <v>46075</v>
      </c>
      <c r="C179" s="7" t="n">
        <v>46075</v>
      </c>
      <c r="D179" s="1" t="n">
        <v>0</v>
      </c>
    </row>
    <row r="180" customFormat="false" ht="15" hidden="false" customHeight="false" outlineLevel="0" collapsed="false">
      <c r="A180" s="1" t="n">
        <v>179</v>
      </c>
      <c r="B180" s="7" t="n">
        <v>46076</v>
      </c>
      <c r="C180" s="7" t="n">
        <v>46076</v>
      </c>
      <c r="D180" s="1" t="n">
        <v>0</v>
      </c>
    </row>
    <row r="181" customFormat="false" ht="15" hidden="false" customHeight="false" outlineLevel="0" collapsed="false">
      <c r="A181" s="1" t="n">
        <v>180</v>
      </c>
      <c r="B181" s="7" t="n">
        <v>46076</v>
      </c>
      <c r="C181" s="7" t="n">
        <v>46076</v>
      </c>
      <c r="D181" s="1" t="n">
        <v>0</v>
      </c>
    </row>
    <row r="182" customFormat="false" ht="15" hidden="false" customHeight="false" outlineLevel="0" collapsed="false">
      <c r="A182" s="1" t="n">
        <v>181</v>
      </c>
      <c r="B182" s="7" t="n">
        <v>46077</v>
      </c>
      <c r="C182" s="7" t="n">
        <v>46077</v>
      </c>
      <c r="D182" s="1" t="n">
        <v>0</v>
      </c>
    </row>
    <row r="183" customFormat="false" ht="15" hidden="false" customHeight="false" outlineLevel="0" collapsed="false">
      <c r="A183" s="1" t="n">
        <v>182</v>
      </c>
      <c r="B183" s="7" t="n">
        <v>46077</v>
      </c>
      <c r="C183" s="7" t="n">
        <v>46077</v>
      </c>
      <c r="D183" s="1" t="n">
        <v>1</v>
      </c>
    </row>
    <row r="184" customFormat="false" ht="15" hidden="false" customHeight="false" outlineLevel="0" collapsed="false">
      <c r="A184" s="1" t="n">
        <v>183</v>
      </c>
      <c r="B184" s="7" t="n">
        <v>46082</v>
      </c>
      <c r="C184" s="7" t="n">
        <v>46082</v>
      </c>
      <c r="D18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8" width="14"/>
    <col collapsed="false" customWidth="true" hidden="false" outlineLevel="0" max="3" min="3" style="1" width="15.28"/>
    <col collapsed="false" customWidth="true" hidden="false" outlineLevel="0" max="4" min="4" style="9" width="18.43"/>
  </cols>
  <sheetData>
    <row r="1" customFormat="false" ht="15" hidden="false" customHeight="true" outlineLevel="0" collapsed="false">
      <c r="A1" s="10" t="s">
        <v>4</v>
      </c>
      <c r="B1" s="11" t="s">
        <v>5</v>
      </c>
      <c r="C1" s="10" t="s">
        <v>0</v>
      </c>
      <c r="D1" s="12" t="s">
        <v>6</v>
      </c>
    </row>
    <row r="2" customFormat="false" ht="15" hidden="false" customHeight="true" outlineLevel="0" collapsed="false">
      <c r="A2" s="5" t="n">
        <v>3001</v>
      </c>
      <c r="B2" s="6" t="n">
        <v>45905</v>
      </c>
      <c r="C2" s="5" t="n">
        <v>2</v>
      </c>
      <c r="D2" s="9" t="n">
        <f aca="false">_xlfn.XLOOKUP(Commits[[#This Row],[DeploymentID]],Deployments[DeploymentID],Deployments[Prod])-Commits[[#This Row],[DateCommit]]</f>
        <v>0</v>
      </c>
    </row>
    <row r="3" customFormat="false" ht="15" hidden="false" customHeight="true" outlineLevel="0" collapsed="false">
      <c r="A3" s="5" t="n">
        <v>3002</v>
      </c>
      <c r="B3" s="6" t="n">
        <v>45905</v>
      </c>
      <c r="C3" s="5" t="n">
        <v>3</v>
      </c>
      <c r="D3" s="9" t="n">
        <f aca="false">_xlfn.XLOOKUP(Commits[[#This Row],[DeploymentID]],Deployments[DeploymentID],Deployments[Prod])-Commits[[#This Row],[DateCommit]]</f>
        <v>0</v>
      </c>
    </row>
    <row r="4" customFormat="false" ht="15" hidden="false" customHeight="true" outlineLevel="0" collapsed="false">
      <c r="A4" s="5" t="n">
        <v>3003</v>
      </c>
      <c r="B4" s="6" t="n">
        <v>45905</v>
      </c>
      <c r="C4" s="5" t="n">
        <v>4</v>
      </c>
      <c r="D4" s="9" t="n">
        <f aca="false">_xlfn.XLOOKUP(Commits[[#This Row],[DeploymentID]],Deployments[DeploymentID],Deployments[Prod])-Commits[[#This Row],[DateCommit]]</f>
        <v>1</v>
      </c>
    </row>
    <row r="5" customFormat="false" ht="15" hidden="false" customHeight="true" outlineLevel="0" collapsed="false">
      <c r="A5" s="5" t="n">
        <v>3004</v>
      </c>
      <c r="B5" s="6" t="n">
        <v>45906</v>
      </c>
      <c r="C5" s="5" t="n">
        <v>5</v>
      </c>
      <c r="D5" s="9" t="n">
        <f aca="false">_xlfn.XLOOKUP(Commits[[#This Row],[DeploymentID]],Deployments[DeploymentID],Deployments[Prod])-Commits[[#This Row],[DateCommit]]</f>
        <v>0</v>
      </c>
    </row>
    <row r="6" customFormat="false" ht="15" hidden="false" customHeight="true" outlineLevel="0" collapsed="false">
      <c r="A6" s="5" t="n">
        <v>3005</v>
      </c>
      <c r="B6" s="6" t="n">
        <v>45906</v>
      </c>
      <c r="C6" s="5" t="n">
        <v>6</v>
      </c>
      <c r="D6" s="9" t="n">
        <f aca="false">_xlfn.XLOOKUP(Commits[[#This Row],[DeploymentID]],Deployments[DeploymentID],Deployments[Prod])-Commits[[#This Row],[DateCommit]]</f>
        <v>1</v>
      </c>
    </row>
    <row r="7" customFormat="false" ht="15" hidden="false" customHeight="true" outlineLevel="0" collapsed="false">
      <c r="A7" s="5" t="n">
        <v>3006</v>
      </c>
      <c r="B7" s="6" t="n">
        <v>45907</v>
      </c>
      <c r="C7" s="5" t="n">
        <v>7</v>
      </c>
      <c r="D7" s="9" t="n">
        <f aca="false">_xlfn.XLOOKUP(Commits[[#This Row],[DeploymentID]],Deployments[DeploymentID],Deployments[Prod])-Commits[[#This Row],[DateCommit]]</f>
        <v>0</v>
      </c>
    </row>
    <row r="8" customFormat="false" ht="15" hidden="false" customHeight="true" outlineLevel="0" collapsed="false">
      <c r="A8" s="5" t="n">
        <v>3008</v>
      </c>
      <c r="B8" s="6" t="n">
        <v>45909</v>
      </c>
      <c r="C8" s="5" t="n">
        <v>9</v>
      </c>
      <c r="D8" s="9" t="n">
        <f aca="false">_xlfn.XLOOKUP(Commits[[#This Row],[DeploymentID]],Deployments[DeploymentID],Deployments[Prod])-Commits[[#This Row],[DateCommit]]</f>
        <v>1</v>
      </c>
    </row>
    <row r="9" customFormat="false" ht="15" hidden="false" customHeight="true" outlineLevel="0" collapsed="false">
      <c r="A9" s="5" t="n">
        <v>3009</v>
      </c>
      <c r="B9" s="6" t="n">
        <v>45910</v>
      </c>
      <c r="C9" s="5" t="n">
        <v>10</v>
      </c>
      <c r="D9" s="9" t="n">
        <f aca="false">_xlfn.XLOOKUP(Commits[[#This Row],[DeploymentID]],Deployments[DeploymentID],Deployments[Prod])-Commits[[#This Row],[DateCommit]]</f>
        <v>0</v>
      </c>
    </row>
    <row r="10" customFormat="false" ht="15" hidden="false" customHeight="true" outlineLevel="0" collapsed="false">
      <c r="A10" s="5" t="n">
        <v>3010</v>
      </c>
      <c r="B10" s="6" t="n">
        <v>45910</v>
      </c>
      <c r="C10" s="5" t="n">
        <v>11</v>
      </c>
      <c r="D10" s="9" t="n">
        <f aca="false">_xlfn.XLOOKUP(Commits[[#This Row],[DeploymentID]],Deployments[DeploymentID],Deployments[Prod])-Commits[[#This Row],[DateCommit]]</f>
        <v>1</v>
      </c>
    </row>
    <row r="11" customFormat="false" ht="15" hidden="false" customHeight="true" outlineLevel="0" collapsed="false">
      <c r="A11" s="5" t="n">
        <v>3011</v>
      </c>
      <c r="B11" s="6" t="n">
        <v>45911</v>
      </c>
      <c r="C11" s="5" t="n">
        <v>12</v>
      </c>
      <c r="D11" s="9" t="n">
        <f aca="false">_xlfn.XLOOKUP(Commits[[#This Row],[DeploymentID]],Deployments[DeploymentID],Deployments[Prod])-Commits[[#This Row],[DateCommit]]</f>
        <v>0</v>
      </c>
    </row>
    <row r="12" customFormat="false" ht="15" hidden="false" customHeight="true" outlineLevel="0" collapsed="false">
      <c r="A12" s="5" t="n">
        <v>3013</v>
      </c>
      <c r="B12" s="6" t="n">
        <v>45915</v>
      </c>
      <c r="C12" s="5" t="n">
        <v>14</v>
      </c>
      <c r="D12" s="9" t="n">
        <f aca="false">_xlfn.XLOOKUP(Commits[[#This Row],[DeploymentID]],Deployments[DeploymentID],Deployments[Prod])-Commits[[#This Row],[DateCommit]]</f>
        <v>1</v>
      </c>
    </row>
    <row r="13" customFormat="false" ht="15" hidden="false" customHeight="true" outlineLevel="0" collapsed="false">
      <c r="A13" s="5" t="n">
        <v>3014</v>
      </c>
      <c r="B13" s="6" t="n">
        <v>45916</v>
      </c>
      <c r="C13" s="5" t="n">
        <v>15</v>
      </c>
      <c r="D13" s="9" t="n">
        <f aca="false">_xlfn.XLOOKUP(Commits[[#This Row],[DeploymentID]],Deployments[DeploymentID],Deployments[Prod])-Commits[[#This Row],[DateCommit]]</f>
        <v>0</v>
      </c>
    </row>
    <row r="14" customFormat="false" ht="15" hidden="false" customHeight="true" outlineLevel="0" collapsed="false">
      <c r="A14" s="5" t="n">
        <v>3015</v>
      </c>
      <c r="B14" s="6" t="n">
        <v>45916</v>
      </c>
      <c r="C14" s="5" t="n">
        <v>16</v>
      </c>
      <c r="D14" s="9" t="n">
        <f aca="false">_xlfn.XLOOKUP(Commits[[#This Row],[DeploymentID]],Deployments[DeploymentID],Deployments[Prod])-Commits[[#This Row],[DateCommit]]</f>
        <v>0</v>
      </c>
    </row>
    <row r="15" customFormat="false" ht="15" hidden="false" customHeight="true" outlineLevel="0" collapsed="false">
      <c r="A15" s="5" t="n">
        <v>3016</v>
      </c>
      <c r="B15" s="6" t="n">
        <v>45916</v>
      </c>
      <c r="C15" s="5" t="n">
        <v>17</v>
      </c>
      <c r="D15" s="9" t="n">
        <f aca="false">_xlfn.XLOOKUP(Commits[[#This Row],[DeploymentID]],Deployments[DeploymentID],Deployments[Prod])-Commits[[#This Row],[DateCommit]]</f>
        <v>1</v>
      </c>
    </row>
    <row r="16" customFormat="false" ht="15" hidden="false" customHeight="true" outlineLevel="0" collapsed="false">
      <c r="A16" s="5" t="n">
        <v>3017</v>
      </c>
      <c r="B16" s="6" t="n">
        <v>45917</v>
      </c>
      <c r="C16" s="5" t="n">
        <v>18</v>
      </c>
      <c r="D16" s="9" t="n">
        <f aca="false">_xlfn.XLOOKUP(Commits[[#This Row],[DeploymentID]],Deployments[DeploymentID],Deployments[Prod])-Commits[[#This Row],[DateCommit]]</f>
        <v>0</v>
      </c>
    </row>
    <row r="17" customFormat="false" ht="15" hidden="false" customHeight="true" outlineLevel="0" collapsed="false">
      <c r="A17" s="5" t="n">
        <v>3018</v>
      </c>
      <c r="B17" s="6" t="n">
        <v>45917</v>
      </c>
      <c r="C17" s="5" t="n">
        <v>19</v>
      </c>
      <c r="D17" s="9" t="n">
        <f aca="false">_xlfn.XLOOKUP(Commits[[#This Row],[DeploymentID]],Deployments[DeploymentID],Deployments[Prod])-Commits[[#This Row],[DateCommit]]</f>
        <v>0</v>
      </c>
    </row>
    <row r="18" customFormat="false" ht="15" hidden="false" customHeight="true" outlineLevel="0" collapsed="false">
      <c r="A18" s="5" t="n">
        <v>3020</v>
      </c>
      <c r="B18" s="6" t="n">
        <v>45921</v>
      </c>
      <c r="C18" s="5" t="n">
        <v>21</v>
      </c>
      <c r="D18" s="9" t="n">
        <f aca="false">_xlfn.XLOOKUP(Commits[[#This Row],[DeploymentID]],Deployments[DeploymentID],Deployments[Prod])-Commits[[#This Row],[DateCommit]]</f>
        <v>0</v>
      </c>
    </row>
    <row r="19" customFormat="false" ht="15" hidden="false" customHeight="true" outlineLevel="0" collapsed="false">
      <c r="A19" s="5" t="n">
        <v>3021</v>
      </c>
      <c r="B19" s="6" t="n">
        <v>45921</v>
      </c>
      <c r="C19" s="5" t="n">
        <v>22</v>
      </c>
      <c r="D19" s="9" t="n">
        <f aca="false">_xlfn.XLOOKUP(Commits[[#This Row],[DeploymentID]],Deployments[DeploymentID],Deployments[Prod])-Commits[[#This Row],[DateCommit]]</f>
        <v>1</v>
      </c>
    </row>
    <row r="20" customFormat="false" ht="15" hidden="false" customHeight="true" outlineLevel="0" collapsed="false">
      <c r="A20" s="5" t="n">
        <v>3022</v>
      </c>
      <c r="B20" s="6" t="n">
        <v>45922</v>
      </c>
      <c r="C20" s="5" t="n">
        <v>23</v>
      </c>
      <c r="D20" s="9" t="n">
        <f aca="false">_xlfn.XLOOKUP(Commits[[#This Row],[DeploymentID]],Deployments[DeploymentID],Deployments[Prod])-Commits[[#This Row],[DateCommit]]</f>
        <v>0</v>
      </c>
    </row>
    <row r="21" customFormat="false" ht="15" hidden="false" customHeight="true" outlineLevel="0" collapsed="false">
      <c r="A21" s="5" t="n">
        <v>3023</v>
      </c>
      <c r="B21" s="6" t="n">
        <v>45922</v>
      </c>
      <c r="C21" s="5" t="n">
        <v>24</v>
      </c>
      <c r="D21" s="9" t="n">
        <f aca="false">_xlfn.XLOOKUP(Commits[[#This Row],[DeploymentID]],Deployments[DeploymentID],Deployments[Prod])-Commits[[#This Row],[DateCommit]]</f>
        <v>0</v>
      </c>
    </row>
    <row r="22" customFormat="false" ht="15" hidden="false" customHeight="true" outlineLevel="0" collapsed="false">
      <c r="A22" s="5" t="n">
        <v>3024</v>
      </c>
      <c r="B22" s="6" t="n">
        <v>45923</v>
      </c>
      <c r="C22" s="5" t="n">
        <v>25</v>
      </c>
      <c r="D22" s="9" t="n">
        <f aca="false">_xlfn.XLOOKUP(Commits[[#This Row],[DeploymentID]],Deployments[DeploymentID],Deployments[Prod])-Commits[[#This Row],[DateCommit]]</f>
        <v>0</v>
      </c>
    </row>
    <row r="23" customFormat="false" ht="15" hidden="false" customHeight="true" outlineLevel="0" collapsed="false">
      <c r="A23" s="5" t="n">
        <v>3025</v>
      </c>
      <c r="B23" s="6" t="n">
        <v>45923</v>
      </c>
      <c r="C23" s="5" t="n">
        <v>26</v>
      </c>
      <c r="D23" s="9" t="n">
        <f aca="false">_xlfn.XLOOKUP(Commits[[#This Row],[DeploymentID]],Deployments[DeploymentID],Deployments[Prod])-Commits[[#This Row],[DateCommit]]</f>
        <v>0</v>
      </c>
    </row>
    <row r="24" customFormat="false" ht="15" hidden="false" customHeight="true" outlineLevel="0" collapsed="false">
      <c r="A24" s="5" t="n">
        <v>3026</v>
      </c>
      <c r="B24" s="6" t="n">
        <v>45923</v>
      </c>
      <c r="C24" s="5" t="n">
        <v>27</v>
      </c>
      <c r="D24" s="9" t="n">
        <f aca="false">_xlfn.XLOOKUP(Commits[[#This Row],[DeploymentID]],Deployments[DeploymentID],Deployments[Prod])-Commits[[#This Row],[DateCommit]]</f>
        <v>1</v>
      </c>
    </row>
    <row r="25" customFormat="false" ht="15" hidden="false" customHeight="true" outlineLevel="0" collapsed="false">
      <c r="A25" s="5" t="n">
        <v>3027</v>
      </c>
      <c r="B25" s="6" t="n">
        <v>45924</v>
      </c>
      <c r="C25" s="5" t="n">
        <v>28</v>
      </c>
      <c r="D25" s="9" t="n">
        <f aca="false">_xlfn.XLOOKUP(Commits[[#This Row],[DeploymentID]],Deployments[DeploymentID],Deployments[Prod])-Commits[[#This Row],[DateCommit]]</f>
        <v>0</v>
      </c>
    </row>
    <row r="26" customFormat="false" ht="15" hidden="false" customHeight="true" outlineLevel="0" collapsed="false">
      <c r="A26" s="5" t="n">
        <v>3029</v>
      </c>
      <c r="B26" s="6" t="n">
        <v>45926</v>
      </c>
      <c r="C26" s="5" t="n">
        <v>30</v>
      </c>
      <c r="D26" s="9" t="n">
        <f aca="false">_xlfn.XLOOKUP(Commits[[#This Row],[DeploymentID]],Deployments[DeploymentID],Deployments[Prod])-Commits[[#This Row],[DateCommit]]</f>
        <v>1</v>
      </c>
    </row>
    <row r="27" customFormat="false" ht="15" hidden="false" customHeight="true" outlineLevel="0" collapsed="false">
      <c r="A27" s="5" t="n">
        <v>3030</v>
      </c>
      <c r="B27" s="6" t="n">
        <v>45927</v>
      </c>
      <c r="C27" s="5" t="n">
        <v>31</v>
      </c>
      <c r="D27" s="9" t="n">
        <f aca="false">_xlfn.XLOOKUP(Commits[[#This Row],[DeploymentID]],Deployments[DeploymentID],Deployments[Prod])-Commits[[#This Row],[DateCommit]]</f>
        <v>0</v>
      </c>
    </row>
    <row r="28" customFormat="false" ht="15" hidden="false" customHeight="true" outlineLevel="0" collapsed="false">
      <c r="A28" s="5" t="n">
        <v>3031</v>
      </c>
      <c r="B28" s="6" t="n">
        <v>45927</v>
      </c>
      <c r="C28" s="5" t="n">
        <v>32</v>
      </c>
      <c r="D28" s="9" t="n">
        <f aca="false">_xlfn.XLOOKUP(Commits[[#This Row],[DeploymentID]],Deployments[DeploymentID],Deployments[Prod])-Commits[[#This Row],[DateCommit]]</f>
        <v>1</v>
      </c>
    </row>
    <row r="29" customFormat="false" ht="15" hidden="false" customHeight="true" outlineLevel="0" collapsed="false">
      <c r="A29" s="5" t="n">
        <v>3033</v>
      </c>
      <c r="B29" s="6" t="n">
        <v>45932</v>
      </c>
      <c r="C29" s="5" t="n">
        <v>34</v>
      </c>
      <c r="D29" s="9" t="n">
        <f aca="false">_xlfn.XLOOKUP(Commits[[#This Row],[DeploymentID]],Deployments[DeploymentID],Deployments[Prod])-Commits[[#This Row],[DateCommit]]</f>
        <v>0</v>
      </c>
    </row>
    <row r="30" customFormat="false" ht="15" hidden="false" customHeight="true" outlineLevel="0" collapsed="false">
      <c r="A30" s="5" t="n">
        <v>3035</v>
      </c>
      <c r="B30" s="6" t="n">
        <v>45935</v>
      </c>
      <c r="C30" s="5" t="n">
        <v>36</v>
      </c>
      <c r="D30" s="9" t="n">
        <f aca="false">_xlfn.XLOOKUP(Commits[[#This Row],[DeploymentID]],Deployments[DeploymentID],Deployments[Prod])-Commits[[#This Row],[DateCommit]]</f>
        <v>0</v>
      </c>
    </row>
    <row r="31" customFormat="false" ht="15" hidden="false" customHeight="true" outlineLevel="0" collapsed="false">
      <c r="A31" s="5" t="n">
        <v>3036</v>
      </c>
      <c r="B31" s="6" t="n">
        <v>45935</v>
      </c>
      <c r="C31" s="5" t="n">
        <v>37</v>
      </c>
      <c r="D31" s="9" t="n">
        <f aca="false">_xlfn.XLOOKUP(Commits[[#This Row],[DeploymentID]],Deployments[DeploymentID],Deployments[Prod])-Commits[[#This Row],[DateCommit]]</f>
        <v>1</v>
      </c>
    </row>
    <row r="32" customFormat="false" ht="15" hidden="false" customHeight="true" outlineLevel="0" collapsed="false">
      <c r="A32" s="5" t="n">
        <v>3037</v>
      </c>
      <c r="B32" s="6" t="n">
        <v>45936</v>
      </c>
      <c r="C32" s="5" t="n">
        <v>38</v>
      </c>
      <c r="D32" s="9" t="n">
        <f aca="false">_xlfn.XLOOKUP(Commits[[#This Row],[DeploymentID]],Deployments[DeploymentID],Deployments[Prod])-Commits[[#This Row],[DateCommit]]</f>
        <v>0</v>
      </c>
    </row>
    <row r="33" customFormat="false" ht="15" hidden="false" customHeight="true" outlineLevel="0" collapsed="false">
      <c r="A33" s="5" t="n">
        <v>3039</v>
      </c>
      <c r="B33" s="6" t="n">
        <v>45939</v>
      </c>
      <c r="C33" s="5" t="n">
        <v>40</v>
      </c>
      <c r="D33" s="9" t="n">
        <f aca="false">_xlfn.XLOOKUP(Commits[[#This Row],[DeploymentID]],Deployments[DeploymentID],Deployments[Prod])-Commits[[#This Row],[DateCommit]]</f>
        <v>0</v>
      </c>
    </row>
    <row r="34" customFormat="false" ht="15" hidden="false" customHeight="true" outlineLevel="0" collapsed="false">
      <c r="A34" s="5" t="n">
        <v>3040</v>
      </c>
      <c r="B34" s="6" t="n">
        <v>45939</v>
      </c>
      <c r="C34" s="5" t="n">
        <v>41</v>
      </c>
      <c r="D34" s="9" t="n">
        <f aca="false">_xlfn.XLOOKUP(Commits[[#This Row],[DeploymentID]],Deployments[DeploymentID],Deployments[Prod])-Commits[[#This Row],[DateCommit]]</f>
        <v>0</v>
      </c>
    </row>
    <row r="35" customFormat="false" ht="15" hidden="false" customHeight="true" outlineLevel="0" collapsed="false">
      <c r="A35" s="5" t="n">
        <v>3041</v>
      </c>
      <c r="B35" s="6" t="n">
        <v>45939</v>
      </c>
      <c r="C35" s="5" t="n">
        <v>42</v>
      </c>
      <c r="D35" s="9" t="n">
        <f aca="false">_xlfn.XLOOKUP(Commits[[#This Row],[DeploymentID]],Deployments[DeploymentID],Deployments[Prod])-Commits[[#This Row],[DateCommit]]</f>
        <v>0</v>
      </c>
    </row>
    <row r="36" customFormat="false" ht="15" hidden="false" customHeight="true" outlineLevel="0" collapsed="false">
      <c r="A36" s="5" t="n">
        <v>3042</v>
      </c>
      <c r="B36" s="6" t="n">
        <v>45940</v>
      </c>
      <c r="C36" s="5" t="n">
        <v>43</v>
      </c>
      <c r="D36" s="9" t="n">
        <f aca="false">_xlfn.XLOOKUP(Commits[[#This Row],[DeploymentID]],Deployments[DeploymentID],Deployments[Prod])-Commits[[#This Row],[DateCommit]]</f>
        <v>0</v>
      </c>
    </row>
    <row r="37" customFormat="false" ht="15" hidden="false" customHeight="true" outlineLevel="0" collapsed="false">
      <c r="A37" s="5" t="n">
        <v>3043</v>
      </c>
      <c r="B37" s="6" t="n">
        <v>45940</v>
      </c>
      <c r="C37" s="5" t="n">
        <v>44</v>
      </c>
      <c r="D37" s="9" t="n">
        <f aca="false">_xlfn.XLOOKUP(Commits[[#This Row],[DeploymentID]],Deployments[DeploymentID],Deployments[Prod])-Commits[[#This Row],[DateCommit]]</f>
        <v>0</v>
      </c>
    </row>
    <row r="38" customFormat="false" ht="15" hidden="false" customHeight="true" outlineLevel="0" collapsed="false">
      <c r="A38" s="5" t="n">
        <v>3044</v>
      </c>
      <c r="B38" s="6" t="n">
        <v>45941</v>
      </c>
      <c r="C38" s="5" t="n">
        <v>45</v>
      </c>
      <c r="D38" s="9" t="n">
        <f aca="false">_xlfn.XLOOKUP(Commits[[#This Row],[DeploymentID]],Deployments[DeploymentID],Deployments[Prod])-Commits[[#This Row],[DateCommit]]</f>
        <v>0</v>
      </c>
    </row>
    <row r="39" customFormat="false" ht="15" hidden="false" customHeight="true" outlineLevel="0" collapsed="false">
      <c r="A39" s="5" t="n">
        <v>3046</v>
      </c>
      <c r="B39" s="6" t="n">
        <v>45944</v>
      </c>
      <c r="C39" s="5" t="n">
        <v>47</v>
      </c>
      <c r="D39" s="9" t="n">
        <f aca="false">_xlfn.XLOOKUP(Commits[[#This Row],[DeploymentID]],Deployments[DeploymentID],Deployments[Prod])-Commits[[#This Row],[DateCommit]]</f>
        <v>0</v>
      </c>
    </row>
    <row r="40" customFormat="false" ht="15" hidden="false" customHeight="true" outlineLevel="0" collapsed="false">
      <c r="A40" s="5" t="n">
        <v>3048</v>
      </c>
      <c r="B40" s="6" t="n">
        <v>45947</v>
      </c>
      <c r="C40" s="5" t="n">
        <v>49</v>
      </c>
      <c r="D40" s="9" t="n">
        <f aca="false">_xlfn.XLOOKUP(Commits[[#This Row],[DeploymentID]],Deployments[DeploymentID],Deployments[Prod])-Commits[[#This Row],[DateCommit]]</f>
        <v>0</v>
      </c>
    </row>
    <row r="41" customFormat="false" ht="15" hidden="false" customHeight="true" outlineLevel="0" collapsed="false">
      <c r="A41" s="5" t="n">
        <v>3049</v>
      </c>
      <c r="B41" s="6" t="n">
        <v>45947</v>
      </c>
      <c r="C41" s="5" t="n">
        <v>50</v>
      </c>
      <c r="D41" s="9" t="n">
        <f aca="false">_xlfn.XLOOKUP(Commits[[#This Row],[DeploymentID]],Deployments[DeploymentID],Deployments[Prod])-Commits[[#This Row],[DateCommit]]</f>
        <v>1</v>
      </c>
    </row>
    <row r="42" customFormat="false" ht="15" hidden="false" customHeight="true" outlineLevel="0" collapsed="false">
      <c r="A42" s="5" t="n">
        <v>3050</v>
      </c>
      <c r="B42" s="6" t="n">
        <v>45948</v>
      </c>
      <c r="C42" s="5" t="n">
        <v>51</v>
      </c>
      <c r="D42" s="9" t="n">
        <f aca="false">_xlfn.XLOOKUP(Commits[[#This Row],[DeploymentID]],Deployments[DeploymentID],Deployments[Prod])-Commits[[#This Row],[DateCommit]]</f>
        <v>0</v>
      </c>
    </row>
    <row r="43" customFormat="false" ht="15" hidden="false" customHeight="true" outlineLevel="0" collapsed="false">
      <c r="A43" s="5" t="n">
        <v>3051</v>
      </c>
      <c r="B43" s="6" t="n">
        <v>45948</v>
      </c>
      <c r="C43" s="5" t="n">
        <v>52</v>
      </c>
      <c r="D43" s="9" t="n">
        <f aca="false">_xlfn.XLOOKUP(Commits[[#This Row],[DeploymentID]],Deployments[DeploymentID],Deployments[Prod])-Commits[[#This Row],[DateCommit]]</f>
        <v>0</v>
      </c>
    </row>
    <row r="44" customFormat="false" ht="15" hidden="false" customHeight="true" outlineLevel="0" collapsed="false">
      <c r="A44" s="5" t="n">
        <v>3052</v>
      </c>
      <c r="B44" s="6" t="n">
        <v>45948</v>
      </c>
      <c r="C44" s="5" t="n">
        <v>53</v>
      </c>
      <c r="D44" s="9" t="n">
        <f aca="false">_xlfn.XLOOKUP(Commits[[#This Row],[DeploymentID]],Deployments[DeploymentID],Deployments[Prod])-Commits[[#This Row],[DateCommit]]</f>
        <v>1</v>
      </c>
    </row>
    <row r="45" customFormat="false" ht="15" hidden="false" customHeight="true" outlineLevel="0" collapsed="false">
      <c r="A45" s="5" t="n">
        <v>3053</v>
      </c>
      <c r="B45" s="6" t="n">
        <v>45949</v>
      </c>
      <c r="C45" s="5" t="n">
        <v>54</v>
      </c>
      <c r="D45" s="9" t="n">
        <f aca="false">_xlfn.XLOOKUP(Commits[[#This Row],[DeploymentID]],Deployments[DeploymentID],Deployments[Prod])-Commits[[#This Row],[DateCommit]]</f>
        <v>0</v>
      </c>
    </row>
    <row r="46" customFormat="false" ht="15" hidden="false" customHeight="true" outlineLevel="0" collapsed="false">
      <c r="A46" s="5" t="n">
        <v>3054</v>
      </c>
      <c r="B46" s="6" t="n">
        <v>45949</v>
      </c>
      <c r="C46" s="5" t="n">
        <v>55</v>
      </c>
      <c r="D46" s="9" t="n">
        <f aca="false">_xlfn.XLOOKUP(Commits[[#This Row],[DeploymentID]],Deployments[DeploymentID],Deployments[Prod])-Commits[[#This Row],[DateCommit]]</f>
        <v>0</v>
      </c>
    </row>
    <row r="47" customFormat="false" ht="15" hidden="false" customHeight="true" outlineLevel="0" collapsed="false">
      <c r="A47" s="5" t="n">
        <v>3055</v>
      </c>
      <c r="B47" s="6" t="n">
        <v>45950</v>
      </c>
      <c r="C47" s="5" t="n">
        <v>56</v>
      </c>
      <c r="D47" s="9" t="n">
        <f aca="false">_xlfn.XLOOKUP(Commits[[#This Row],[DeploymentID]],Deployments[DeploymentID],Deployments[Prod])-Commits[[#This Row],[DateCommit]]</f>
        <v>0</v>
      </c>
    </row>
    <row r="48" customFormat="false" ht="15" hidden="false" customHeight="true" outlineLevel="0" collapsed="false">
      <c r="A48" s="5" t="n">
        <v>3056</v>
      </c>
      <c r="B48" s="6" t="n">
        <v>45950</v>
      </c>
      <c r="C48" s="5" t="n">
        <v>57</v>
      </c>
      <c r="D48" s="9" t="n">
        <f aca="false">_xlfn.XLOOKUP(Commits[[#This Row],[DeploymentID]],Deployments[DeploymentID],Deployments[Prod])-Commits[[#This Row],[DateCommit]]</f>
        <v>0</v>
      </c>
    </row>
    <row r="49" customFormat="false" ht="15" hidden="false" customHeight="true" outlineLevel="0" collapsed="false">
      <c r="A49" s="5" t="n">
        <v>3058</v>
      </c>
      <c r="B49" s="6" t="n">
        <v>45954</v>
      </c>
      <c r="C49" s="5" t="n">
        <v>59</v>
      </c>
      <c r="D49" s="9" t="n">
        <f aca="false">_xlfn.XLOOKUP(Commits[[#This Row],[DeploymentID]],Deployments[DeploymentID],Deployments[Prod])-Commits[[#This Row],[DateCommit]]</f>
        <v>1</v>
      </c>
    </row>
    <row r="50" customFormat="false" ht="15" hidden="false" customHeight="true" outlineLevel="0" collapsed="false">
      <c r="A50" s="5" t="n">
        <v>3059</v>
      </c>
      <c r="B50" s="6" t="n">
        <v>45955</v>
      </c>
      <c r="C50" s="5" t="n">
        <v>60</v>
      </c>
      <c r="D50" s="9" t="n">
        <f aca="false">_xlfn.XLOOKUP(Commits[[#This Row],[DeploymentID]],Deployments[DeploymentID],Deployments[Prod])-Commits[[#This Row],[DateCommit]]</f>
        <v>0</v>
      </c>
    </row>
    <row r="51" customFormat="false" ht="15" hidden="false" customHeight="true" outlineLevel="0" collapsed="false">
      <c r="A51" s="5" t="n">
        <v>3061</v>
      </c>
      <c r="B51" s="6" t="n">
        <v>45960</v>
      </c>
      <c r="C51" s="5" t="n">
        <v>62</v>
      </c>
      <c r="D51" s="9" t="n">
        <f aca="false">_xlfn.XLOOKUP(Commits[[#This Row],[DeploymentID]],Deployments[DeploymentID],Deployments[Prod])-Commits[[#This Row],[DateCommit]]</f>
        <v>1</v>
      </c>
    </row>
    <row r="52" customFormat="false" ht="15" hidden="false" customHeight="true" outlineLevel="0" collapsed="false">
      <c r="A52" s="5" t="n">
        <v>3062</v>
      </c>
      <c r="B52" s="6" t="n">
        <v>45961</v>
      </c>
      <c r="C52" s="5" t="n">
        <v>63</v>
      </c>
      <c r="D52" s="9" t="n">
        <f aca="false">_xlfn.XLOOKUP(Commits[[#This Row],[DeploymentID]],Deployments[DeploymentID],Deployments[Prod])-Commits[[#This Row],[DateCommit]]</f>
        <v>0</v>
      </c>
    </row>
    <row r="53" customFormat="false" ht="15" hidden="false" customHeight="true" outlineLevel="0" collapsed="false">
      <c r="A53" s="5" t="n">
        <v>3063</v>
      </c>
      <c r="B53" s="6" t="n">
        <v>45961</v>
      </c>
      <c r="C53" s="5" t="n">
        <v>64</v>
      </c>
      <c r="D53" s="9" t="n">
        <f aca="false">_xlfn.XLOOKUP(Commits[[#This Row],[DeploymentID]],Deployments[DeploymentID],Deployments[Prod])-Commits[[#This Row],[DateCommit]]</f>
        <v>0</v>
      </c>
    </row>
    <row r="54" customFormat="false" ht="15" hidden="false" customHeight="true" outlineLevel="0" collapsed="false">
      <c r="A54" s="5" t="n">
        <v>3064</v>
      </c>
      <c r="B54" s="6" t="n">
        <v>45961</v>
      </c>
      <c r="C54" s="5" t="n">
        <v>65</v>
      </c>
      <c r="D54" s="9" t="n">
        <f aca="false">_xlfn.XLOOKUP(Commits[[#This Row],[DeploymentID]],Deployments[DeploymentID],Deployments[Prod])-Commits[[#This Row],[DateCommit]]</f>
        <v>1</v>
      </c>
    </row>
    <row r="55" customFormat="false" ht="15" hidden="false" customHeight="true" outlineLevel="0" collapsed="false">
      <c r="A55" s="5" t="n">
        <v>3065</v>
      </c>
      <c r="B55" s="6" t="n">
        <v>45962</v>
      </c>
      <c r="C55" s="5" t="n">
        <v>66</v>
      </c>
      <c r="D55" s="9" t="n">
        <f aca="false">_xlfn.XLOOKUP(Commits[[#This Row],[DeploymentID]],Deployments[DeploymentID],Deployments[Prod])-Commits[[#This Row],[DateCommit]]</f>
        <v>0</v>
      </c>
    </row>
    <row r="56" customFormat="false" ht="15" hidden="false" customHeight="true" outlineLevel="0" collapsed="false">
      <c r="A56" s="5" t="n">
        <v>3067</v>
      </c>
      <c r="B56" s="6" t="n">
        <v>45967</v>
      </c>
      <c r="C56" s="5" t="n">
        <v>68</v>
      </c>
      <c r="D56" s="9" t="n">
        <f aca="false">_xlfn.XLOOKUP(Commits[[#This Row],[DeploymentID]],Deployments[DeploymentID],Deployments[Prod])-Commits[[#This Row],[DateCommit]]</f>
        <v>0</v>
      </c>
    </row>
    <row r="57" customFormat="false" ht="15" hidden="false" customHeight="true" outlineLevel="0" collapsed="false">
      <c r="A57" s="5" t="n">
        <v>3068</v>
      </c>
      <c r="B57" s="6" t="n">
        <v>45967</v>
      </c>
      <c r="C57" s="5" t="n">
        <v>69</v>
      </c>
      <c r="D57" s="9" t="n">
        <f aca="false">_xlfn.XLOOKUP(Commits[[#This Row],[DeploymentID]],Deployments[DeploymentID],Deployments[Prod])-Commits[[#This Row],[DateCommit]]</f>
        <v>1</v>
      </c>
    </row>
    <row r="58" customFormat="false" ht="15" hidden="false" customHeight="true" outlineLevel="0" collapsed="false">
      <c r="A58" s="5" t="n">
        <v>3070</v>
      </c>
      <c r="B58" s="6" t="n">
        <v>45972</v>
      </c>
      <c r="C58" s="5" t="n">
        <v>71</v>
      </c>
      <c r="D58" s="9" t="n">
        <f aca="false">_xlfn.XLOOKUP(Commits[[#This Row],[DeploymentID]],Deployments[DeploymentID],Deployments[Prod])-Commits[[#This Row],[DateCommit]]</f>
        <v>1</v>
      </c>
    </row>
    <row r="59" customFormat="false" ht="15" hidden="false" customHeight="true" outlineLevel="0" collapsed="false">
      <c r="A59" s="5" t="n">
        <v>3072</v>
      </c>
      <c r="B59" s="6" t="n">
        <v>45976</v>
      </c>
      <c r="C59" s="5" t="n">
        <v>73</v>
      </c>
      <c r="D59" s="9" t="n">
        <f aca="false">_xlfn.XLOOKUP(Commits[[#This Row],[DeploymentID]],Deployments[DeploymentID],Deployments[Prod])-Commits[[#This Row],[DateCommit]]</f>
        <v>0</v>
      </c>
    </row>
    <row r="60" customFormat="false" ht="15" hidden="false" customHeight="false" outlineLevel="0" collapsed="false">
      <c r="A60" s="1" t="n">
        <v>3073</v>
      </c>
      <c r="B60" s="7" t="n">
        <v>45976</v>
      </c>
      <c r="C60" s="1" t="n">
        <v>74</v>
      </c>
      <c r="D60" s="13" t="n">
        <f aca="false">_xlfn.XLOOKUP(Commits[[#This Row],[DeploymentID]],Deployments[DeploymentID],Deployments[Prod])-Commits[[#This Row],[DateCommit]]</f>
        <v>0</v>
      </c>
    </row>
    <row r="61" customFormat="false" ht="15" hidden="false" customHeight="false" outlineLevel="0" collapsed="false">
      <c r="A61" s="1" t="n">
        <v>3075</v>
      </c>
      <c r="B61" s="7" t="n">
        <v>45981</v>
      </c>
      <c r="C61" s="1" t="n">
        <v>76</v>
      </c>
      <c r="D61" s="13" t="n">
        <f aca="false">_xlfn.XLOOKUP(Commits[[#This Row],[DeploymentID]],Deployments[DeploymentID],Deployments[Prod])-Commits[[#This Row],[DateCommit]]</f>
        <v>0</v>
      </c>
    </row>
    <row r="62" customFormat="false" ht="15" hidden="false" customHeight="false" outlineLevel="0" collapsed="false">
      <c r="A62" s="1" t="n">
        <v>3077</v>
      </c>
      <c r="B62" s="7" t="n">
        <v>45984</v>
      </c>
      <c r="C62" s="1" t="n">
        <v>78</v>
      </c>
      <c r="D62" s="13" t="n">
        <f aca="false">_xlfn.XLOOKUP(Commits[[#This Row],[DeploymentID]],Deployments[DeploymentID],Deployments[Prod])-Commits[[#This Row],[DateCommit]]</f>
        <v>0</v>
      </c>
    </row>
    <row r="63" customFormat="false" ht="15" hidden="false" customHeight="false" outlineLevel="0" collapsed="false">
      <c r="A63" s="1" t="n">
        <v>3079</v>
      </c>
      <c r="B63" s="7" t="n">
        <v>45988</v>
      </c>
      <c r="C63" s="1" t="n">
        <v>80</v>
      </c>
      <c r="D63" s="13" t="n">
        <f aca="false">_xlfn.XLOOKUP(Commits[[#This Row],[DeploymentID]],Deployments[DeploymentID],Deployments[Prod])-Commits[[#This Row],[DateCommit]]</f>
        <v>1</v>
      </c>
    </row>
    <row r="64" customFormat="false" ht="15" hidden="false" customHeight="false" outlineLevel="0" collapsed="false">
      <c r="A64" s="1" t="n">
        <v>3080</v>
      </c>
      <c r="B64" s="7" t="n">
        <v>45989</v>
      </c>
      <c r="C64" s="1" t="n">
        <v>81</v>
      </c>
      <c r="D64" s="13" t="n">
        <f aca="false">_xlfn.XLOOKUP(Commits[[#This Row],[DeploymentID]],Deployments[DeploymentID],Deployments[Prod])-Commits[[#This Row],[DateCommit]]</f>
        <v>0</v>
      </c>
    </row>
    <row r="65" customFormat="false" ht="15" hidden="false" customHeight="false" outlineLevel="0" collapsed="false">
      <c r="A65" s="1" t="n">
        <v>3081</v>
      </c>
      <c r="B65" s="7" t="n">
        <v>45989</v>
      </c>
      <c r="C65" s="1" t="n">
        <v>82</v>
      </c>
      <c r="D65" s="13" t="n">
        <f aca="false">_xlfn.XLOOKUP(Commits[[#This Row],[DeploymentID]],Deployments[DeploymentID],Deployments[Prod])-Commits[[#This Row],[DateCommit]]</f>
        <v>1</v>
      </c>
    </row>
    <row r="66" customFormat="false" ht="15" hidden="false" customHeight="false" outlineLevel="0" collapsed="false">
      <c r="A66" s="1" t="n">
        <v>3082</v>
      </c>
      <c r="B66" s="7" t="n">
        <v>45989</v>
      </c>
      <c r="C66" s="1" t="n">
        <v>83</v>
      </c>
      <c r="D66" s="13" t="n">
        <f aca="false">_xlfn.XLOOKUP(Commits[[#This Row],[DeploymentID]],Deployments[DeploymentID],Deployments[Prod])-Commits[[#This Row],[DateCommit]]</f>
        <v>1</v>
      </c>
    </row>
    <row r="67" customFormat="false" ht="15" hidden="false" customHeight="false" outlineLevel="0" collapsed="false">
      <c r="A67" s="1" t="n">
        <v>3083</v>
      </c>
      <c r="B67" s="7" t="n">
        <v>45990</v>
      </c>
      <c r="C67" s="1" t="n">
        <v>84</v>
      </c>
      <c r="D67" s="13" t="n">
        <f aca="false">_xlfn.XLOOKUP(Commits[[#This Row],[DeploymentID]],Deployments[DeploymentID],Deployments[Prod])-Commits[[#This Row],[DateCommit]]</f>
        <v>0</v>
      </c>
    </row>
    <row r="68" customFormat="false" ht="15" hidden="false" customHeight="false" outlineLevel="0" collapsed="false">
      <c r="A68" s="1" t="n">
        <v>3084</v>
      </c>
      <c r="B68" s="7" t="n">
        <v>45990</v>
      </c>
      <c r="C68" s="1" t="n">
        <v>85</v>
      </c>
      <c r="D68" s="13" t="n">
        <f aca="false">_xlfn.XLOOKUP(Commits[[#This Row],[DeploymentID]],Deployments[DeploymentID],Deployments[Prod])-Commits[[#This Row],[DateCommit]]</f>
        <v>1</v>
      </c>
    </row>
    <row r="69" customFormat="false" ht="15" hidden="false" customHeight="false" outlineLevel="0" collapsed="false">
      <c r="A69" s="1" t="n">
        <v>3085</v>
      </c>
      <c r="B69" s="7" t="n">
        <v>45991</v>
      </c>
      <c r="C69" s="1" t="n">
        <v>86</v>
      </c>
      <c r="D69" s="13" t="n">
        <f aca="false">_xlfn.XLOOKUP(Commits[[#This Row],[DeploymentID]],Deployments[DeploymentID],Deployments[Prod])-Commits[[#This Row],[DateCommit]]</f>
        <v>0</v>
      </c>
    </row>
    <row r="70" customFormat="false" ht="15" hidden="false" customHeight="false" outlineLevel="0" collapsed="false">
      <c r="A70" s="1" t="n">
        <v>3087</v>
      </c>
      <c r="B70" s="7" t="n">
        <v>45993</v>
      </c>
      <c r="C70" s="1" t="n">
        <v>88</v>
      </c>
      <c r="D70" s="13" t="n">
        <f aca="false">_xlfn.XLOOKUP(Commits[[#This Row],[DeploymentID]],Deployments[DeploymentID],Deployments[Prod])-Commits[[#This Row],[DateCommit]]</f>
        <v>1</v>
      </c>
    </row>
    <row r="71" customFormat="false" ht="15" hidden="false" customHeight="false" outlineLevel="0" collapsed="false">
      <c r="A71" s="1" t="n">
        <v>3088</v>
      </c>
      <c r="B71" s="7" t="n">
        <v>45994</v>
      </c>
      <c r="C71" s="1" t="n">
        <v>89</v>
      </c>
      <c r="D71" s="13" t="n">
        <f aca="false">_xlfn.XLOOKUP(Commits[[#This Row],[DeploymentID]],Deployments[DeploymentID],Deployments[Prod])-Commits[[#This Row],[DateCommit]]</f>
        <v>0</v>
      </c>
    </row>
    <row r="72" customFormat="false" ht="15" hidden="false" customHeight="false" outlineLevel="0" collapsed="false">
      <c r="A72" s="1" t="n">
        <v>3089</v>
      </c>
      <c r="B72" s="7" t="n">
        <v>45994</v>
      </c>
      <c r="C72" s="1" t="n">
        <v>90</v>
      </c>
      <c r="D72" s="13" t="n">
        <f aca="false">_xlfn.XLOOKUP(Commits[[#This Row],[DeploymentID]],Deployments[DeploymentID],Deployments[Prod])-Commits[[#This Row],[DateCommit]]</f>
        <v>0</v>
      </c>
    </row>
    <row r="73" customFormat="false" ht="15" hidden="false" customHeight="false" outlineLevel="0" collapsed="false">
      <c r="A73" s="1" t="n">
        <v>3090</v>
      </c>
      <c r="B73" s="7" t="n">
        <v>45994</v>
      </c>
      <c r="C73" s="1" t="n">
        <v>91</v>
      </c>
      <c r="D73" s="13" t="n">
        <f aca="false">_xlfn.XLOOKUP(Commits[[#This Row],[DeploymentID]],Deployments[DeploymentID],Deployments[Prod])-Commits[[#This Row],[DateCommit]]</f>
        <v>1</v>
      </c>
    </row>
    <row r="74" customFormat="false" ht="15" hidden="false" customHeight="false" outlineLevel="0" collapsed="false">
      <c r="A74" s="1" t="n">
        <v>3091</v>
      </c>
      <c r="B74" s="7" t="n">
        <v>45995</v>
      </c>
      <c r="C74" s="1" t="n">
        <v>92</v>
      </c>
      <c r="D74" s="13" t="n">
        <f aca="false">_xlfn.XLOOKUP(Commits[[#This Row],[DeploymentID]],Deployments[DeploymentID],Deployments[Prod])-Commits[[#This Row],[DateCommit]]</f>
        <v>0</v>
      </c>
    </row>
    <row r="75" customFormat="false" ht="15" hidden="false" customHeight="false" outlineLevel="0" collapsed="false">
      <c r="A75" s="1" t="n">
        <v>3092</v>
      </c>
      <c r="B75" s="7" t="n">
        <v>45995</v>
      </c>
      <c r="C75" s="1" t="n">
        <v>93</v>
      </c>
      <c r="D75" s="13" t="n">
        <f aca="false">_xlfn.XLOOKUP(Commits[[#This Row],[DeploymentID]],Deployments[DeploymentID],Deployments[Prod])-Commits[[#This Row],[DateCommit]]</f>
        <v>1</v>
      </c>
    </row>
    <row r="76" customFormat="false" ht="15" hidden="false" customHeight="false" outlineLevel="0" collapsed="false">
      <c r="A76" s="1" t="n">
        <v>3093</v>
      </c>
      <c r="B76" s="7" t="n">
        <v>45996</v>
      </c>
      <c r="C76" s="1" t="n">
        <v>94</v>
      </c>
      <c r="D76" s="13" t="n">
        <f aca="false">_xlfn.XLOOKUP(Commits[[#This Row],[DeploymentID]],Deployments[DeploymentID],Deployments[Prod])-Commits[[#This Row],[DateCommit]]</f>
        <v>0</v>
      </c>
    </row>
    <row r="77" customFormat="false" ht="15" hidden="false" customHeight="false" outlineLevel="0" collapsed="false">
      <c r="A77" s="1" t="n">
        <v>3094</v>
      </c>
      <c r="B77" s="7" t="n">
        <v>45996</v>
      </c>
      <c r="C77" s="1" t="n">
        <v>95</v>
      </c>
      <c r="D77" s="13" t="n">
        <f aca="false">_xlfn.XLOOKUP(Commits[[#This Row],[DeploymentID]],Deployments[DeploymentID],Deployments[Prod])-Commits[[#This Row],[DateCommit]]</f>
        <v>0</v>
      </c>
    </row>
    <row r="78" customFormat="false" ht="15" hidden="false" customHeight="false" outlineLevel="0" collapsed="false">
      <c r="A78" s="1" t="n">
        <v>3096</v>
      </c>
      <c r="B78" s="7" t="n">
        <v>46000</v>
      </c>
      <c r="C78" s="1" t="n">
        <v>97</v>
      </c>
      <c r="D78" s="13" t="n">
        <f aca="false">_xlfn.XLOOKUP(Commits[[#This Row],[DeploymentID]],Deployments[DeploymentID],Deployments[Prod])-Commits[[#This Row],[DateCommit]]</f>
        <v>0</v>
      </c>
    </row>
    <row r="79" customFormat="false" ht="15" hidden="false" customHeight="false" outlineLevel="0" collapsed="false">
      <c r="A79" s="1" t="n">
        <v>3097</v>
      </c>
      <c r="B79" s="7" t="n">
        <v>46001</v>
      </c>
      <c r="C79" s="1" t="n">
        <v>98</v>
      </c>
      <c r="D79" s="13" t="n">
        <f aca="false">_xlfn.XLOOKUP(Commits[[#This Row],[DeploymentID]],Deployments[DeploymentID],Deployments[Prod])-Commits[[#This Row],[DateCommit]]</f>
        <v>0</v>
      </c>
    </row>
    <row r="80" customFormat="false" ht="15" hidden="false" customHeight="false" outlineLevel="0" collapsed="false">
      <c r="A80" s="1" t="n">
        <v>3099</v>
      </c>
      <c r="B80" s="7" t="n">
        <v>46006</v>
      </c>
      <c r="C80" s="1" t="n">
        <v>100</v>
      </c>
      <c r="D80" s="13" t="n">
        <f aca="false">_xlfn.XLOOKUP(Commits[[#This Row],[DeploymentID]],Deployments[DeploymentID],Deployments[Prod])-Commits[[#This Row],[DateCommit]]</f>
        <v>0</v>
      </c>
    </row>
    <row r="81" customFormat="false" ht="15" hidden="false" customHeight="false" outlineLevel="0" collapsed="false">
      <c r="A81" s="1" t="n">
        <v>3100</v>
      </c>
      <c r="B81" s="7" t="n">
        <v>46006</v>
      </c>
      <c r="C81" s="1" t="n">
        <v>101</v>
      </c>
      <c r="D81" s="13" t="n">
        <f aca="false">_xlfn.XLOOKUP(Commits[[#This Row],[DeploymentID]],Deployments[DeploymentID],Deployments[Prod])-Commits[[#This Row],[DateCommit]]</f>
        <v>0</v>
      </c>
    </row>
    <row r="82" customFormat="false" ht="15" hidden="false" customHeight="false" outlineLevel="0" collapsed="false">
      <c r="A82" s="1" t="n">
        <v>3101</v>
      </c>
      <c r="B82" s="7" t="n">
        <v>46006</v>
      </c>
      <c r="C82" s="1" t="n">
        <v>102</v>
      </c>
      <c r="D82" s="13" t="n">
        <f aca="false">_xlfn.XLOOKUP(Commits[[#This Row],[DeploymentID]],Deployments[DeploymentID],Deployments[Prod])-Commits[[#This Row],[DateCommit]]</f>
        <v>0</v>
      </c>
    </row>
    <row r="83" customFormat="false" ht="15" hidden="false" customHeight="false" outlineLevel="0" collapsed="false">
      <c r="A83" s="1" t="n">
        <v>3102</v>
      </c>
      <c r="B83" s="7" t="n">
        <v>46006</v>
      </c>
      <c r="C83" s="1" t="n">
        <v>103</v>
      </c>
      <c r="D83" s="13" t="n">
        <f aca="false">_xlfn.XLOOKUP(Commits[[#This Row],[DeploymentID]],Deployments[DeploymentID],Deployments[Prod])-Commits[[#This Row],[DateCommit]]</f>
        <v>1</v>
      </c>
    </row>
    <row r="84" customFormat="false" ht="15" hidden="false" customHeight="false" outlineLevel="0" collapsed="false">
      <c r="A84" s="1" t="n">
        <v>3104</v>
      </c>
      <c r="B84" s="7" t="n">
        <v>46012</v>
      </c>
      <c r="C84" s="1" t="n">
        <v>105</v>
      </c>
      <c r="D84" s="13" t="n">
        <f aca="false">_xlfn.XLOOKUP(Commits[[#This Row],[DeploymentID]],Deployments[DeploymentID],Deployments[Prod])-Commits[[#This Row],[DateCommit]]</f>
        <v>0</v>
      </c>
    </row>
    <row r="85" customFormat="false" ht="15" hidden="false" customHeight="false" outlineLevel="0" collapsed="false">
      <c r="A85" s="1" t="n">
        <v>3105</v>
      </c>
      <c r="B85" s="7" t="n">
        <v>46012</v>
      </c>
      <c r="C85" s="1" t="n">
        <v>106</v>
      </c>
      <c r="D85" s="13" t="n">
        <f aca="false">_xlfn.XLOOKUP(Commits[[#This Row],[DeploymentID]],Deployments[DeploymentID],Deployments[Prod])-Commits[[#This Row],[DateCommit]]</f>
        <v>1</v>
      </c>
    </row>
    <row r="86" customFormat="false" ht="15" hidden="false" customHeight="false" outlineLevel="0" collapsed="false">
      <c r="A86" s="1" t="n">
        <v>3107</v>
      </c>
      <c r="B86" s="7" t="n">
        <v>46016</v>
      </c>
      <c r="C86" s="1" t="n">
        <v>108</v>
      </c>
      <c r="D86" s="13" t="n">
        <f aca="false">_xlfn.XLOOKUP(Commits[[#This Row],[DeploymentID]],Deployments[DeploymentID],Deployments[Prod])-Commits[[#This Row],[DateCommit]]</f>
        <v>0</v>
      </c>
    </row>
    <row r="87" customFormat="false" ht="15" hidden="false" customHeight="false" outlineLevel="0" collapsed="false">
      <c r="A87" s="1" t="n">
        <v>3109</v>
      </c>
      <c r="B87" s="7" t="n">
        <v>46020</v>
      </c>
      <c r="C87" s="1" t="n">
        <v>110</v>
      </c>
      <c r="D87" s="13" t="n">
        <f aca="false">_xlfn.XLOOKUP(Commits[[#This Row],[DeploymentID]],Deployments[DeploymentID],Deployments[Prod])-Commits[[#This Row],[DateCommit]]</f>
        <v>0</v>
      </c>
    </row>
    <row r="88" customFormat="false" ht="15" hidden="false" customHeight="false" outlineLevel="0" collapsed="false">
      <c r="A88" s="1" t="n">
        <v>3111</v>
      </c>
      <c r="B88" s="7" t="n">
        <v>46025</v>
      </c>
      <c r="C88" s="1" t="n">
        <v>112</v>
      </c>
      <c r="D88" s="13" t="n">
        <f aca="false">_xlfn.XLOOKUP(Commits[[#This Row],[DeploymentID]],Deployments[DeploymentID],Deployments[Prod])-Commits[[#This Row],[DateCommit]]</f>
        <v>1</v>
      </c>
    </row>
    <row r="89" customFormat="false" ht="15" hidden="false" customHeight="false" outlineLevel="0" collapsed="false">
      <c r="A89" s="1" t="n">
        <v>3112</v>
      </c>
      <c r="B89" s="7" t="n">
        <v>46026</v>
      </c>
      <c r="C89" s="1" t="n">
        <v>113</v>
      </c>
      <c r="D89" s="13" t="n">
        <f aca="false">_xlfn.XLOOKUP(Commits[[#This Row],[DeploymentID]],Deployments[DeploymentID],Deployments[Prod])-Commits[[#This Row],[DateCommit]]</f>
        <v>0</v>
      </c>
    </row>
    <row r="90" customFormat="false" ht="15" hidden="false" customHeight="false" outlineLevel="0" collapsed="false">
      <c r="A90" s="1" t="n">
        <v>3113</v>
      </c>
      <c r="B90" s="7" t="n">
        <v>46026</v>
      </c>
      <c r="C90" s="1" t="n">
        <v>114</v>
      </c>
      <c r="D90" s="13" t="n">
        <f aca="false">_xlfn.XLOOKUP(Commits[[#This Row],[DeploymentID]],Deployments[DeploymentID],Deployments[Prod])-Commits[[#This Row],[DateCommit]]</f>
        <v>0</v>
      </c>
    </row>
    <row r="91" customFormat="false" ht="15" hidden="false" customHeight="false" outlineLevel="0" collapsed="false">
      <c r="A91" s="1" t="n">
        <v>3114</v>
      </c>
      <c r="B91" s="7" t="n">
        <v>46026</v>
      </c>
      <c r="C91" s="1" t="n">
        <v>115</v>
      </c>
      <c r="D91" s="13" t="n">
        <f aca="false">_xlfn.XLOOKUP(Commits[[#This Row],[DeploymentID]],Deployments[DeploymentID],Deployments[Prod])-Commits[[#This Row],[DateCommit]]</f>
        <v>1</v>
      </c>
    </row>
    <row r="92" customFormat="false" ht="15" hidden="false" customHeight="false" outlineLevel="0" collapsed="false">
      <c r="A92" s="1" t="n">
        <v>3115</v>
      </c>
      <c r="B92" s="7" t="n">
        <v>46027</v>
      </c>
      <c r="C92" s="1" t="n">
        <v>116</v>
      </c>
      <c r="D92" s="13" t="n">
        <f aca="false">_xlfn.XLOOKUP(Commits[[#This Row],[DeploymentID]],Deployments[DeploymentID],Deployments[Prod])-Commits[[#This Row],[DateCommit]]</f>
        <v>0</v>
      </c>
    </row>
    <row r="93" customFormat="false" ht="15" hidden="false" customHeight="false" outlineLevel="0" collapsed="false">
      <c r="A93" s="1" t="n">
        <v>3117</v>
      </c>
      <c r="B93" s="7" t="n">
        <v>46031</v>
      </c>
      <c r="C93" s="1" t="n">
        <v>118</v>
      </c>
      <c r="D93" s="13" t="n">
        <f aca="false">_xlfn.XLOOKUP(Commits[[#This Row],[DeploymentID]],Deployments[DeploymentID],Deployments[Prod])-Commits[[#This Row],[DateCommit]]</f>
        <v>1</v>
      </c>
    </row>
    <row r="94" customFormat="false" ht="15" hidden="false" customHeight="false" outlineLevel="0" collapsed="false">
      <c r="A94" s="1" t="n">
        <v>3118</v>
      </c>
      <c r="B94" s="7" t="n">
        <v>46032</v>
      </c>
      <c r="C94" s="1" t="n">
        <v>119</v>
      </c>
      <c r="D94" s="13" t="n">
        <f aca="false">_xlfn.XLOOKUP(Commits[[#This Row],[DeploymentID]],Deployments[DeploymentID],Deployments[Prod])-Commits[[#This Row],[DateCommit]]</f>
        <v>0</v>
      </c>
    </row>
    <row r="95" customFormat="false" ht="15" hidden="false" customHeight="false" outlineLevel="0" collapsed="false">
      <c r="A95" s="1" t="n">
        <v>3120</v>
      </c>
      <c r="B95" s="7" t="n">
        <v>46036</v>
      </c>
      <c r="C95" s="1" t="n">
        <v>121</v>
      </c>
      <c r="D95" s="13" t="n">
        <f aca="false">_xlfn.XLOOKUP(Commits[[#This Row],[DeploymentID]],Deployments[DeploymentID],Deployments[Prod])-Commits[[#This Row],[DateCommit]]</f>
        <v>0</v>
      </c>
    </row>
    <row r="96" customFormat="false" ht="15" hidden="false" customHeight="false" outlineLevel="0" collapsed="false">
      <c r="A96" s="1" t="n">
        <v>3121</v>
      </c>
      <c r="B96" s="7" t="n">
        <v>46036</v>
      </c>
      <c r="C96" s="1" t="n">
        <v>122</v>
      </c>
      <c r="D96" s="13" t="n">
        <f aca="false">_xlfn.XLOOKUP(Commits[[#This Row],[DeploymentID]],Deployments[DeploymentID],Deployments[Prod])-Commits[[#This Row],[DateCommit]]</f>
        <v>1</v>
      </c>
    </row>
    <row r="97" customFormat="false" ht="15" hidden="false" customHeight="false" outlineLevel="0" collapsed="false">
      <c r="A97" s="1" t="n">
        <v>3122</v>
      </c>
      <c r="B97" s="7" t="n">
        <v>46037</v>
      </c>
      <c r="C97" s="1" t="n">
        <v>123</v>
      </c>
      <c r="D97" s="13" t="n">
        <f aca="false">_xlfn.XLOOKUP(Commits[[#This Row],[DeploymentID]],Deployments[DeploymentID],Deployments[Prod])-Commits[[#This Row],[DateCommit]]</f>
        <v>0</v>
      </c>
    </row>
    <row r="98" customFormat="false" ht="15" hidden="false" customHeight="false" outlineLevel="0" collapsed="false">
      <c r="A98" s="1" t="n">
        <v>3123</v>
      </c>
      <c r="B98" s="7" t="n">
        <v>46037</v>
      </c>
      <c r="C98" s="1" t="n">
        <v>124</v>
      </c>
      <c r="D98" s="13" t="n">
        <f aca="false">_xlfn.XLOOKUP(Commits[[#This Row],[DeploymentID]],Deployments[DeploymentID],Deployments[Prod])-Commits[[#This Row],[DateCommit]]</f>
        <v>0</v>
      </c>
    </row>
    <row r="99" customFormat="false" ht="15" hidden="false" customHeight="false" outlineLevel="0" collapsed="false">
      <c r="A99" s="1" t="n">
        <v>3124</v>
      </c>
      <c r="B99" s="7" t="n">
        <v>46037</v>
      </c>
      <c r="C99" s="1" t="n">
        <v>125</v>
      </c>
      <c r="D99" s="13" t="n">
        <f aca="false">_xlfn.XLOOKUP(Commits[[#This Row],[DeploymentID]],Deployments[DeploymentID],Deployments[Prod])-Commits[[#This Row],[DateCommit]]</f>
        <v>1</v>
      </c>
    </row>
    <row r="100" customFormat="false" ht="15" hidden="false" customHeight="false" outlineLevel="0" collapsed="false">
      <c r="A100" s="1" t="n">
        <v>3125</v>
      </c>
      <c r="B100" s="7" t="n">
        <v>46038</v>
      </c>
      <c r="C100" s="1" t="n">
        <v>126</v>
      </c>
      <c r="D100" s="13" t="n">
        <f aca="false">_xlfn.XLOOKUP(Commits[[#This Row],[DeploymentID]],Deployments[DeploymentID],Deployments[Prod])-Commits[[#This Row],[DateCommit]]</f>
        <v>0</v>
      </c>
    </row>
    <row r="101" customFormat="false" ht="15" hidden="false" customHeight="false" outlineLevel="0" collapsed="false">
      <c r="A101" s="1" t="n">
        <v>3126</v>
      </c>
      <c r="B101" s="7" t="n">
        <v>46038</v>
      </c>
      <c r="C101" s="1" t="n">
        <v>127</v>
      </c>
      <c r="D101" s="13" t="n">
        <f aca="false">_xlfn.XLOOKUP(Commits[[#This Row],[DeploymentID]],Deployments[DeploymentID],Deployments[Prod])-Commits[[#This Row],[DateCommit]]</f>
        <v>0</v>
      </c>
    </row>
    <row r="102" customFormat="false" ht="15" hidden="false" customHeight="false" outlineLevel="0" collapsed="false">
      <c r="A102" s="1" t="n">
        <v>3127</v>
      </c>
      <c r="B102" s="7" t="n">
        <v>46039</v>
      </c>
      <c r="C102" s="1" t="n">
        <v>128</v>
      </c>
      <c r="D102" s="13" t="n">
        <f aca="false">_xlfn.XLOOKUP(Commits[[#This Row],[DeploymentID]],Deployments[DeploymentID],Deployments[Prod])-Commits[[#This Row],[DateCommit]]</f>
        <v>0</v>
      </c>
    </row>
    <row r="103" customFormat="false" ht="15" hidden="false" customHeight="false" outlineLevel="0" collapsed="false">
      <c r="A103" s="1" t="n">
        <v>3128</v>
      </c>
      <c r="B103" s="7" t="n">
        <v>46039</v>
      </c>
      <c r="C103" s="1" t="n">
        <v>129</v>
      </c>
      <c r="D103" s="13" t="n">
        <f aca="false">_xlfn.XLOOKUP(Commits[[#This Row],[DeploymentID]],Deployments[DeploymentID],Deployments[Prod])-Commits[[#This Row],[DateCommit]]</f>
        <v>0</v>
      </c>
    </row>
    <row r="104" customFormat="false" ht="15" hidden="false" customHeight="false" outlineLevel="0" collapsed="false">
      <c r="A104" s="1" t="n">
        <v>3129</v>
      </c>
      <c r="B104" s="7" t="n">
        <v>46039</v>
      </c>
      <c r="C104" s="1" t="n">
        <v>130</v>
      </c>
      <c r="D104" s="13" t="n">
        <f aca="false">_xlfn.XLOOKUP(Commits[[#This Row],[DeploymentID]],Deployments[DeploymentID],Deployments[Prod])-Commits[[#This Row],[DateCommit]]</f>
        <v>0</v>
      </c>
    </row>
    <row r="105" customFormat="false" ht="15" hidden="false" customHeight="false" outlineLevel="0" collapsed="false">
      <c r="A105" s="1" t="n">
        <v>3130</v>
      </c>
      <c r="B105" s="7" t="n">
        <v>46039</v>
      </c>
      <c r="C105" s="1" t="n">
        <v>131</v>
      </c>
      <c r="D105" s="13" t="n">
        <f aca="false">_xlfn.XLOOKUP(Commits[[#This Row],[DeploymentID]],Deployments[DeploymentID],Deployments[Prod])-Commits[[#This Row],[DateCommit]]</f>
        <v>1</v>
      </c>
    </row>
    <row r="106" customFormat="false" ht="15" hidden="false" customHeight="false" outlineLevel="0" collapsed="false">
      <c r="A106" s="1" t="n">
        <v>3131</v>
      </c>
      <c r="B106" s="7" t="n">
        <v>46040</v>
      </c>
      <c r="C106" s="1" t="n">
        <v>132</v>
      </c>
      <c r="D106" s="13" t="n">
        <f aca="false">_xlfn.XLOOKUP(Commits[[#This Row],[DeploymentID]],Deployments[DeploymentID],Deployments[Prod])-Commits[[#This Row],[DateCommit]]</f>
        <v>0</v>
      </c>
    </row>
    <row r="107" customFormat="false" ht="15" hidden="false" customHeight="false" outlineLevel="0" collapsed="false">
      <c r="A107" s="1" t="n">
        <v>3132</v>
      </c>
      <c r="B107" s="7" t="n">
        <v>46040</v>
      </c>
      <c r="C107" s="1" t="n">
        <v>133</v>
      </c>
      <c r="D107" s="13" t="n">
        <f aca="false">_xlfn.XLOOKUP(Commits[[#This Row],[DeploymentID]],Deployments[DeploymentID],Deployments[Prod])-Commits[[#This Row],[DateCommit]]</f>
        <v>1</v>
      </c>
    </row>
    <row r="108" customFormat="false" ht="15" hidden="false" customHeight="false" outlineLevel="0" collapsed="false">
      <c r="A108" s="1" t="n">
        <v>3133</v>
      </c>
      <c r="B108" s="7" t="n">
        <v>46041</v>
      </c>
      <c r="C108" s="1" t="n">
        <v>134</v>
      </c>
      <c r="D108" s="13" t="n">
        <f aca="false">_xlfn.XLOOKUP(Commits[[#This Row],[DeploymentID]],Deployments[DeploymentID],Deployments[Prod])-Commits[[#This Row],[DateCommit]]</f>
        <v>0</v>
      </c>
    </row>
    <row r="109" customFormat="false" ht="15" hidden="false" customHeight="false" outlineLevel="0" collapsed="false">
      <c r="A109" s="1" t="n">
        <v>3134</v>
      </c>
      <c r="B109" s="7" t="n">
        <v>46041</v>
      </c>
      <c r="C109" s="1" t="n">
        <v>135</v>
      </c>
      <c r="D109" s="13" t="n">
        <f aca="false">_xlfn.XLOOKUP(Commits[[#This Row],[DeploymentID]],Deployments[DeploymentID],Deployments[Prod])-Commits[[#This Row],[DateCommit]]</f>
        <v>0</v>
      </c>
    </row>
    <row r="110" customFormat="false" ht="15" hidden="false" customHeight="false" outlineLevel="0" collapsed="false">
      <c r="A110" s="1" t="n">
        <v>3136</v>
      </c>
      <c r="B110" s="7" t="n">
        <v>46045</v>
      </c>
      <c r="C110" s="1" t="n">
        <v>137</v>
      </c>
      <c r="D110" s="13" t="n">
        <f aca="false">_xlfn.XLOOKUP(Commits[[#This Row],[DeploymentID]],Deployments[DeploymentID],Deployments[Prod])-Commits[[#This Row],[DateCommit]]</f>
        <v>0</v>
      </c>
    </row>
    <row r="111" customFormat="false" ht="15" hidden="false" customHeight="false" outlineLevel="0" collapsed="false">
      <c r="A111" s="1" t="n">
        <v>3137</v>
      </c>
      <c r="B111" s="7" t="n">
        <v>46045</v>
      </c>
      <c r="C111" s="1" t="n">
        <v>138</v>
      </c>
      <c r="D111" s="13" t="n">
        <f aca="false">_xlfn.XLOOKUP(Commits[[#This Row],[DeploymentID]],Deployments[DeploymentID],Deployments[Prod])-Commits[[#This Row],[DateCommit]]</f>
        <v>1</v>
      </c>
    </row>
    <row r="112" customFormat="false" ht="15" hidden="false" customHeight="false" outlineLevel="0" collapsed="false">
      <c r="A112" s="1" t="n">
        <v>3139</v>
      </c>
      <c r="B112" s="7" t="n">
        <v>46050</v>
      </c>
      <c r="C112" s="1" t="n">
        <v>140</v>
      </c>
      <c r="D112" s="13" t="n">
        <f aca="false">_xlfn.XLOOKUP(Commits[[#This Row],[DeploymentID]],Deployments[DeploymentID],Deployments[Prod])-Commits[[#This Row],[DateCommit]]</f>
        <v>0</v>
      </c>
    </row>
    <row r="113" customFormat="false" ht="15" hidden="false" customHeight="false" outlineLevel="0" collapsed="false">
      <c r="A113" s="1" t="n">
        <v>3140</v>
      </c>
      <c r="B113" s="7" t="n">
        <v>46050</v>
      </c>
      <c r="C113" s="1" t="n">
        <v>141</v>
      </c>
      <c r="D113" s="13" t="n">
        <f aca="false">_xlfn.XLOOKUP(Commits[[#This Row],[DeploymentID]],Deployments[DeploymentID],Deployments[Prod])-Commits[[#This Row],[DateCommit]]</f>
        <v>1</v>
      </c>
    </row>
    <row r="114" customFormat="false" ht="15" hidden="false" customHeight="false" outlineLevel="0" collapsed="false">
      <c r="A114" s="1" t="n">
        <v>3141</v>
      </c>
      <c r="B114" s="7" t="n">
        <v>46051</v>
      </c>
      <c r="C114" s="1" t="n">
        <v>142</v>
      </c>
      <c r="D114" s="13" t="n">
        <f aca="false">_xlfn.XLOOKUP(Commits[[#This Row],[DeploymentID]],Deployments[DeploymentID],Deployments[Prod])-Commits[[#This Row],[DateCommit]]</f>
        <v>0</v>
      </c>
    </row>
    <row r="115" customFormat="false" ht="15" hidden="false" customHeight="false" outlineLevel="0" collapsed="false">
      <c r="A115" s="1" t="n">
        <v>3143</v>
      </c>
      <c r="B115" s="7" t="n">
        <v>46054</v>
      </c>
      <c r="C115" s="1" t="n">
        <v>144</v>
      </c>
      <c r="D115" s="13" t="n">
        <f aca="false">_xlfn.XLOOKUP(Commits[[#This Row],[DeploymentID]],Deployments[DeploymentID],Deployments[Prod])-Commits[[#This Row],[DateCommit]]</f>
        <v>0</v>
      </c>
    </row>
    <row r="116" customFormat="false" ht="15" hidden="false" customHeight="false" outlineLevel="0" collapsed="false">
      <c r="A116" s="1" t="n">
        <v>3144</v>
      </c>
      <c r="B116" s="7" t="n">
        <v>46054</v>
      </c>
      <c r="C116" s="1" t="n">
        <v>145</v>
      </c>
      <c r="D116" s="13" t="n">
        <f aca="false">_xlfn.XLOOKUP(Commits[[#This Row],[DeploymentID]],Deployments[DeploymentID],Deployments[Prod])-Commits[[#This Row],[DateCommit]]</f>
        <v>0</v>
      </c>
    </row>
    <row r="117" customFormat="false" ht="15" hidden="false" customHeight="false" outlineLevel="0" collapsed="false">
      <c r="A117" s="1" t="n">
        <v>3145</v>
      </c>
      <c r="B117" s="7" t="n">
        <v>46055</v>
      </c>
      <c r="C117" s="1" t="n">
        <v>146</v>
      </c>
      <c r="D117" s="13" t="n">
        <f aca="false">_xlfn.XLOOKUP(Commits[[#This Row],[DeploymentID]],Deployments[DeploymentID],Deployments[Prod])-Commits[[#This Row],[DateCommit]]</f>
        <v>0</v>
      </c>
    </row>
    <row r="118" customFormat="false" ht="15" hidden="false" customHeight="false" outlineLevel="0" collapsed="false">
      <c r="A118" s="1" t="n">
        <v>3146</v>
      </c>
      <c r="B118" s="7" t="n">
        <v>46055</v>
      </c>
      <c r="C118" s="1" t="n">
        <v>147</v>
      </c>
      <c r="D118" s="13" t="n">
        <f aca="false">_xlfn.XLOOKUP(Commits[[#This Row],[DeploymentID]],Deployments[DeploymentID],Deployments[Prod])-Commits[[#This Row],[DateCommit]]</f>
        <v>0</v>
      </c>
    </row>
    <row r="119" customFormat="false" ht="15" hidden="false" customHeight="false" outlineLevel="0" collapsed="false">
      <c r="A119" s="1" t="n">
        <v>3147</v>
      </c>
      <c r="B119" s="7" t="n">
        <v>46055</v>
      </c>
      <c r="C119" s="1" t="n">
        <v>148</v>
      </c>
      <c r="D119" s="13" t="n">
        <f aca="false">_xlfn.XLOOKUP(Commits[[#This Row],[DeploymentID]],Deployments[DeploymentID],Deployments[Prod])-Commits[[#This Row],[DateCommit]]</f>
        <v>0</v>
      </c>
    </row>
    <row r="120" customFormat="false" ht="15" hidden="false" customHeight="false" outlineLevel="0" collapsed="false">
      <c r="A120" s="1" t="n">
        <v>3148</v>
      </c>
      <c r="B120" s="7" t="n">
        <v>46055</v>
      </c>
      <c r="C120" s="1" t="n">
        <v>149</v>
      </c>
      <c r="D120" s="13" t="n">
        <f aca="false">_xlfn.XLOOKUP(Commits[[#This Row],[DeploymentID]],Deployments[DeploymentID],Deployments[Prod])-Commits[[#This Row],[DateCommit]]</f>
        <v>1</v>
      </c>
    </row>
    <row r="121" customFormat="false" ht="15" hidden="false" customHeight="false" outlineLevel="0" collapsed="false">
      <c r="A121" s="1" t="n">
        <v>3149</v>
      </c>
      <c r="B121" s="7" t="n">
        <v>46056</v>
      </c>
      <c r="C121" s="1" t="n">
        <v>150</v>
      </c>
      <c r="D121" s="13" t="n">
        <f aca="false">_xlfn.XLOOKUP(Commits[[#This Row],[DeploymentID]],Deployments[DeploymentID],Deployments[Prod])-Commits[[#This Row],[DateCommit]]</f>
        <v>0</v>
      </c>
    </row>
    <row r="122" customFormat="false" ht="15" hidden="false" customHeight="false" outlineLevel="0" collapsed="false">
      <c r="A122" s="1" t="n">
        <v>3150</v>
      </c>
      <c r="B122" s="7" t="n">
        <v>46056</v>
      </c>
      <c r="C122" s="1" t="n">
        <v>151</v>
      </c>
      <c r="D122" s="13" t="n">
        <f aca="false">_xlfn.XLOOKUP(Commits[[#This Row],[DeploymentID]],Deployments[DeploymentID],Deployments[Prod])-Commits[[#This Row],[DateCommit]]</f>
        <v>0</v>
      </c>
    </row>
    <row r="123" customFormat="false" ht="15" hidden="false" customHeight="false" outlineLevel="0" collapsed="false">
      <c r="A123" s="1" t="n">
        <v>3151</v>
      </c>
      <c r="B123" s="7" t="n">
        <v>46056</v>
      </c>
      <c r="C123" s="1" t="n">
        <v>152</v>
      </c>
      <c r="D123" s="13" t="n">
        <f aca="false">_xlfn.XLOOKUP(Commits[[#This Row],[DeploymentID]],Deployments[DeploymentID],Deployments[Prod])-Commits[[#This Row],[DateCommit]]</f>
        <v>1</v>
      </c>
    </row>
    <row r="124" customFormat="false" ht="15" hidden="false" customHeight="false" outlineLevel="0" collapsed="false">
      <c r="A124" s="1" t="n">
        <v>3153</v>
      </c>
      <c r="B124" s="7" t="n">
        <v>46061</v>
      </c>
      <c r="C124" s="1" t="n">
        <v>154</v>
      </c>
      <c r="D124" s="13" t="n">
        <f aca="false">_xlfn.XLOOKUP(Commits[[#This Row],[DeploymentID]],Deployments[DeploymentID],Deployments[Prod])-Commits[[#This Row],[DateCommit]]</f>
        <v>1</v>
      </c>
    </row>
    <row r="125" customFormat="false" ht="15" hidden="false" customHeight="false" outlineLevel="0" collapsed="false">
      <c r="A125" s="1" t="n">
        <v>3154</v>
      </c>
      <c r="B125" s="7" t="n">
        <v>46061</v>
      </c>
      <c r="C125" s="1" t="n">
        <v>155</v>
      </c>
      <c r="D125" s="13" t="n">
        <f aca="false">_xlfn.XLOOKUP(Commits[[#This Row],[DeploymentID]],Deployments[DeploymentID],Deployments[Prod])-Commits[[#This Row],[DateCommit]]</f>
        <v>1</v>
      </c>
    </row>
    <row r="126" customFormat="false" ht="15" hidden="false" customHeight="false" outlineLevel="0" collapsed="false">
      <c r="A126" s="1" t="n">
        <v>3155</v>
      </c>
      <c r="B126" s="7" t="n">
        <v>46062</v>
      </c>
      <c r="C126" s="1" t="n">
        <v>156</v>
      </c>
      <c r="D126" s="13" t="n">
        <f aca="false">_xlfn.XLOOKUP(Commits[[#This Row],[DeploymentID]],Deployments[DeploymentID],Deployments[Prod])-Commits[[#This Row],[DateCommit]]</f>
        <v>0</v>
      </c>
    </row>
    <row r="127" customFormat="false" ht="15" hidden="false" customHeight="false" outlineLevel="0" collapsed="false">
      <c r="A127" s="1" t="n">
        <v>3156</v>
      </c>
      <c r="B127" s="7" t="n">
        <v>46062</v>
      </c>
      <c r="C127" s="1" t="n">
        <v>157</v>
      </c>
      <c r="D127" s="13" t="n">
        <f aca="false">_xlfn.XLOOKUP(Commits[[#This Row],[DeploymentID]],Deployments[DeploymentID],Deployments[Prod])-Commits[[#This Row],[DateCommit]]</f>
        <v>1</v>
      </c>
    </row>
    <row r="128" customFormat="false" ht="15" hidden="false" customHeight="false" outlineLevel="0" collapsed="false">
      <c r="A128" s="1" t="n">
        <v>3157</v>
      </c>
      <c r="B128" s="7" t="n">
        <v>46062</v>
      </c>
      <c r="C128" s="1" t="n">
        <v>158</v>
      </c>
      <c r="D128" s="13" t="n">
        <f aca="false">_xlfn.XLOOKUP(Commits[[#This Row],[DeploymentID]],Deployments[DeploymentID],Deployments[Prod])-Commits[[#This Row],[DateCommit]]</f>
        <v>1</v>
      </c>
    </row>
    <row r="129" customFormat="false" ht="15" hidden="false" customHeight="false" outlineLevel="0" collapsed="false">
      <c r="A129" s="1" t="n">
        <v>3159</v>
      </c>
      <c r="B129" s="7" t="n">
        <v>46067</v>
      </c>
      <c r="C129" s="1" t="n">
        <v>160</v>
      </c>
      <c r="D129" s="13" t="n">
        <f aca="false">_xlfn.XLOOKUP(Commits[[#This Row],[DeploymentID]],Deployments[DeploymentID],Deployments[Prod])-Commits[[#This Row],[DateCommit]]</f>
        <v>0</v>
      </c>
    </row>
    <row r="130" customFormat="false" ht="15" hidden="false" customHeight="false" outlineLevel="0" collapsed="false">
      <c r="A130" s="1" t="n">
        <v>3160</v>
      </c>
      <c r="B130" s="7" t="n">
        <v>46067</v>
      </c>
      <c r="C130" s="1" t="n">
        <v>161</v>
      </c>
      <c r="D130" s="13" t="n">
        <f aca="false">_xlfn.XLOOKUP(Commits[[#This Row],[DeploymentID]],Deployments[DeploymentID],Deployments[Prod])-Commits[[#This Row],[DateCommit]]</f>
        <v>0</v>
      </c>
    </row>
    <row r="131" customFormat="false" ht="15" hidden="false" customHeight="false" outlineLevel="0" collapsed="false">
      <c r="A131" s="1" t="n">
        <v>3161</v>
      </c>
      <c r="B131" s="7" t="n">
        <v>46067</v>
      </c>
      <c r="C131" s="1" t="n">
        <v>162</v>
      </c>
      <c r="D131" s="13" t="n">
        <f aca="false">_xlfn.XLOOKUP(Commits[[#This Row],[DeploymentID]],Deployments[DeploymentID],Deployments[Prod])-Commits[[#This Row],[DateCommit]]</f>
        <v>1</v>
      </c>
    </row>
    <row r="132" customFormat="false" ht="15" hidden="false" customHeight="false" outlineLevel="0" collapsed="false">
      <c r="A132" s="1" t="n">
        <v>3162</v>
      </c>
      <c r="B132" s="7" t="n">
        <v>46068</v>
      </c>
      <c r="C132" s="1" t="n">
        <v>163</v>
      </c>
      <c r="D132" s="13" t="n">
        <f aca="false">_xlfn.XLOOKUP(Commits[[#This Row],[DeploymentID]],Deployments[DeploymentID],Deployments[Prod])-Commits[[#This Row],[DateCommit]]</f>
        <v>0</v>
      </c>
    </row>
    <row r="133" customFormat="false" ht="15" hidden="false" customHeight="false" outlineLevel="0" collapsed="false">
      <c r="A133" s="1" t="n">
        <v>3164</v>
      </c>
      <c r="B133" s="7" t="n">
        <v>46070</v>
      </c>
      <c r="C133" s="1" t="n">
        <v>165</v>
      </c>
      <c r="D133" s="13" t="n">
        <f aca="false">_xlfn.XLOOKUP(Commits[[#This Row],[DeploymentID]],Deployments[DeploymentID],Deployments[Prod])-Commits[[#This Row],[DateCommit]]</f>
        <v>1</v>
      </c>
    </row>
    <row r="134" customFormat="false" ht="15" hidden="false" customHeight="false" outlineLevel="0" collapsed="false">
      <c r="A134" s="1" t="n">
        <v>3165</v>
      </c>
      <c r="B134" s="7" t="n">
        <v>46071</v>
      </c>
      <c r="C134" s="1" t="n">
        <v>166</v>
      </c>
      <c r="D134" s="13" t="n">
        <f aca="false">_xlfn.XLOOKUP(Commits[[#This Row],[DeploymentID]],Deployments[DeploymentID],Deployments[Prod])-Commits[[#This Row],[DateCommit]]</f>
        <v>0</v>
      </c>
    </row>
    <row r="135" customFormat="false" ht="15" hidden="false" customHeight="false" outlineLevel="0" collapsed="false">
      <c r="A135" s="1" t="n">
        <v>3166</v>
      </c>
      <c r="B135" s="7" t="n">
        <v>46071</v>
      </c>
      <c r="C135" s="1" t="n">
        <v>167</v>
      </c>
      <c r="D135" s="13" t="n">
        <f aca="false">_xlfn.XLOOKUP(Commits[[#This Row],[DeploymentID]],Deployments[DeploymentID],Deployments[Prod])-Commits[[#This Row],[DateCommit]]</f>
        <v>0</v>
      </c>
    </row>
    <row r="136" customFormat="false" ht="15" hidden="false" customHeight="false" outlineLevel="0" collapsed="false">
      <c r="A136" s="1" t="n">
        <v>3167</v>
      </c>
      <c r="B136" s="7" t="n">
        <v>46071</v>
      </c>
      <c r="C136" s="1" t="n">
        <v>168</v>
      </c>
      <c r="D136" s="13" t="n">
        <f aca="false">_xlfn.XLOOKUP(Commits[[#This Row],[DeploymentID]],Deployments[DeploymentID],Deployments[Prod])-Commits[[#This Row],[DateCommit]]</f>
        <v>1</v>
      </c>
    </row>
    <row r="137" customFormat="false" ht="15" hidden="false" customHeight="false" outlineLevel="0" collapsed="false">
      <c r="A137" s="1" t="n">
        <v>3168</v>
      </c>
      <c r="B137" s="7" t="n">
        <v>46072</v>
      </c>
      <c r="C137" s="1" t="n">
        <v>169</v>
      </c>
      <c r="D137" s="13" t="n">
        <f aca="false">_xlfn.XLOOKUP(Commits[[#This Row],[DeploymentID]],Deployments[DeploymentID],Deployments[Prod])-Commits[[#This Row],[DateCommit]]</f>
        <v>0</v>
      </c>
    </row>
    <row r="138" customFormat="false" ht="15" hidden="false" customHeight="false" outlineLevel="0" collapsed="false">
      <c r="A138" s="1" t="n">
        <v>3169</v>
      </c>
      <c r="B138" s="7" t="n">
        <v>46072</v>
      </c>
      <c r="C138" s="1" t="n">
        <v>170</v>
      </c>
      <c r="D138" s="13" t="n">
        <f aca="false">_xlfn.XLOOKUP(Commits[[#This Row],[DeploymentID]],Deployments[DeploymentID],Deployments[Prod])-Commits[[#This Row],[DateCommit]]</f>
        <v>0</v>
      </c>
    </row>
    <row r="139" customFormat="false" ht="15" hidden="false" customHeight="false" outlineLevel="0" collapsed="false">
      <c r="A139" s="1" t="n">
        <v>3170</v>
      </c>
      <c r="B139" s="7" t="n">
        <v>46072</v>
      </c>
      <c r="C139" s="1" t="n">
        <v>171</v>
      </c>
      <c r="D139" s="13" t="n">
        <f aca="false">_xlfn.XLOOKUP(Commits[[#This Row],[DeploymentID]],Deployments[DeploymentID],Deployments[Prod])-Commits[[#This Row],[DateCommit]]</f>
        <v>1</v>
      </c>
    </row>
    <row r="140" customFormat="false" ht="15" hidden="false" customHeight="false" outlineLevel="0" collapsed="false">
      <c r="A140" s="1" t="n">
        <v>3171</v>
      </c>
      <c r="B140" s="7" t="n">
        <v>46073</v>
      </c>
      <c r="C140" s="1" t="n">
        <v>172</v>
      </c>
      <c r="D140" s="13" t="n">
        <f aca="false">_xlfn.XLOOKUP(Commits[[#This Row],[DeploymentID]],Deployments[DeploymentID],Deployments[Prod])-Commits[[#This Row],[DateCommit]]</f>
        <v>0</v>
      </c>
    </row>
    <row r="141" customFormat="false" ht="15" hidden="false" customHeight="false" outlineLevel="0" collapsed="false">
      <c r="A141" s="1" t="n">
        <v>3172</v>
      </c>
      <c r="B141" s="7" t="n">
        <v>46073</v>
      </c>
      <c r="C141" s="1" t="n">
        <v>173</v>
      </c>
      <c r="D141" s="13" t="n">
        <f aca="false">_xlfn.XLOOKUP(Commits[[#This Row],[DeploymentID]],Deployments[DeploymentID],Deployments[Prod])-Commits[[#This Row],[DateCommit]]</f>
        <v>0</v>
      </c>
    </row>
    <row r="142" customFormat="false" ht="15" hidden="false" customHeight="false" outlineLevel="0" collapsed="false">
      <c r="A142" s="1" t="n">
        <v>3173</v>
      </c>
      <c r="B142" s="7" t="n">
        <v>46073</v>
      </c>
      <c r="C142" s="1" t="n">
        <v>174</v>
      </c>
      <c r="D142" s="13" t="n">
        <f aca="false">_xlfn.XLOOKUP(Commits[[#This Row],[DeploymentID]],Deployments[DeploymentID],Deployments[Prod])-Commits[[#This Row],[DateCommit]]</f>
        <v>1</v>
      </c>
    </row>
    <row r="143" customFormat="false" ht="15" hidden="false" customHeight="false" outlineLevel="0" collapsed="false">
      <c r="A143" s="1" t="n">
        <v>3174</v>
      </c>
      <c r="B143" s="7" t="n">
        <v>46074</v>
      </c>
      <c r="C143" s="1" t="n">
        <v>175</v>
      </c>
      <c r="D143" s="13" t="n">
        <f aca="false">_xlfn.XLOOKUP(Commits[[#This Row],[DeploymentID]],Deployments[DeploymentID],Deployments[Prod])-Commits[[#This Row],[DateCommit]]</f>
        <v>0</v>
      </c>
    </row>
    <row r="144" customFormat="false" ht="15" hidden="false" customHeight="false" outlineLevel="0" collapsed="false">
      <c r="A144" s="1" t="n">
        <v>3175</v>
      </c>
      <c r="B144" s="7" t="n">
        <v>46074</v>
      </c>
      <c r="C144" s="1" t="n">
        <v>176</v>
      </c>
      <c r="D144" s="13" t="n">
        <f aca="false">_xlfn.XLOOKUP(Commits[[#This Row],[DeploymentID]],Deployments[DeploymentID],Deployments[Prod])-Commits[[#This Row],[DateCommit]]</f>
        <v>1</v>
      </c>
    </row>
    <row r="145" customFormat="false" ht="15" hidden="false" customHeight="false" outlineLevel="0" collapsed="false">
      <c r="A145" s="1" t="n">
        <v>3176</v>
      </c>
      <c r="B145" s="7" t="n">
        <v>46075</v>
      </c>
      <c r="C145" s="1" t="n">
        <v>177</v>
      </c>
      <c r="D145" s="13" t="n">
        <f aca="false">_xlfn.XLOOKUP(Commits[[#This Row],[DeploymentID]],Deployments[DeploymentID],Deployments[Prod])-Commits[[#This Row],[DateCommit]]</f>
        <v>0</v>
      </c>
    </row>
    <row r="146" customFormat="false" ht="15" hidden="false" customHeight="false" outlineLevel="0" collapsed="false">
      <c r="A146" s="1" t="n">
        <v>3177</v>
      </c>
      <c r="B146" s="7" t="n">
        <v>46075</v>
      </c>
      <c r="C146" s="1" t="n">
        <v>178</v>
      </c>
      <c r="D146" s="13" t="n">
        <f aca="false">_xlfn.XLOOKUP(Commits[[#This Row],[DeploymentID]],Deployments[DeploymentID],Deployments[Prod])-Commits[[#This Row],[DateCommit]]</f>
        <v>0</v>
      </c>
    </row>
    <row r="147" customFormat="false" ht="15" hidden="false" customHeight="false" outlineLevel="0" collapsed="false">
      <c r="A147" s="1" t="n">
        <v>3178</v>
      </c>
      <c r="B147" s="7" t="n">
        <v>46075</v>
      </c>
      <c r="C147" s="1" t="n">
        <v>179</v>
      </c>
      <c r="D147" s="13" t="n">
        <f aca="false">_xlfn.XLOOKUP(Commits[[#This Row],[DeploymentID]],Deployments[DeploymentID],Deployments[Prod])-Commits[[#This Row],[DateCommit]]</f>
        <v>1</v>
      </c>
    </row>
    <row r="148" customFormat="false" ht="15" hidden="false" customHeight="false" outlineLevel="0" collapsed="false">
      <c r="A148" s="1" t="n">
        <v>3179</v>
      </c>
      <c r="B148" s="7" t="n">
        <v>46076</v>
      </c>
      <c r="C148" s="1" t="n">
        <v>180</v>
      </c>
      <c r="D148" s="13" t="n">
        <f aca="false">_xlfn.XLOOKUP(Commits[[#This Row],[DeploymentID]],Deployments[DeploymentID],Deployments[Prod])-Commits[[#This Row],[DateCommit]]</f>
        <v>0</v>
      </c>
    </row>
    <row r="149" customFormat="false" ht="15" hidden="false" customHeight="false" outlineLevel="0" collapsed="false">
      <c r="A149" s="1" t="n">
        <v>3180</v>
      </c>
      <c r="B149" s="7" t="n">
        <v>46076</v>
      </c>
      <c r="C149" s="1" t="n">
        <v>181</v>
      </c>
      <c r="D149" s="13" t="n">
        <f aca="false">_xlfn.XLOOKUP(Commits[[#This Row],[DeploymentID]],Deployments[DeploymentID],Deployments[Prod])-Commits[[#This Row],[DateCommit]]</f>
        <v>1</v>
      </c>
    </row>
    <row r="150" customFormat="false" ht="15" hidden="false" customHeight="false" outlineLevel="0" collapsed="false">
      <c r="A150" s="1" t="n">
        <v>3182</v>
      </c>
      <c r="B150" s="7" t="n">
        <v>46081</v>
      </c>
      <c r="C150" s="1" t="n">
        <v>183</v>
      </c>
      <c r="D150" s="13" t="n">
        <f aca="false">_xlfn.XLOOKUP(Commits[[#This Row],[DeploymentID]],Deployments[DeploymentID],Deployments[Prod])-Commits[[#This Row],[DateCommit]]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4" width="14.43"/>
    <col collapsed="false" customWidth="true" hidden="false" outlineLevel="0" max="3" min="3" style="1" width="18"/>
    <col collapsed="false" customWidth="true" hidden="false" outlineLevel="0" max="4" min="4" style="15" width="18"/>
    <col collapsed="false" customWidth="true" hidden="false" outlineLevel="0" max="5" min="5" style="16" width="18"/>
  </cols>
  <sheetData>
    <row r="1" customFormat="false" ht="15" hidden="false" customHeight="true" outlineLevel="0" collapsed="false">
      <c r="A1" s="3" t="s">
        <v>7</v>
      </c>
      <c r="B1" s="17" t="s">
        <v>8</v>
      </c>
      <c r="C1" s="3" t="s">
        <v>9</v>
      </c>
      <c r="D1" s="18" t="s">
        <v>6</v>
      </c>
      <c r="E1" s="19" t="s">
        <v>10</v>
      </c>
    </row>
    <row r="2" customFormat="false" ht="15" hidden="false" customHeight="true" outlineLevel="0" collapsed="false">
      <c r="A2" s="5" t="n">
        <v>1</v>
      </c>
      <c r="B2" s="6" t="n">
        <v>45901</v>
      </c>
      <c r="C2" s="5" t="n">
        <v>2</v>
      </c>
      <c r="D2" s="15" t="n">
        <f aca="false">_xlfn.XLOOKUP(Issues[[#This Row],[Fixed-ReleaseID]],Deployments[DeploymentID],Deployments[Prod])-Issues[[#This Row],[Report Date]]</f>
        <v>4</v>
      </c>
      <c r="E2" s="20" t="n">
        <f aca="false">_xlfn.XLOOKUP(Issues[[#This Row],[Fixed-ReleaseID]],Deployments[DeploymentID],Deployments[Prod])</f>
        <v>45905</v>
      </c>
    </row>
    <row r="3" customFormat="false" ht="15" hidden="false" customHeight="true" outlineLevel="0" collapsed="false">
      <c r="A3" s="5" t="n">
        <v>2</v>
      </c>
      <c r="B3" s="6" t="n">
        <v>45907</v>
      </c>
      <c r="C3" s="5" t="n">
        <v>9</v>
      </c>
      <c r="D3" s="15" t="n">
        <f aca="false">_xlfn.XLOOKUP(Issues[[#This Row],[Fixed-ReleaseID]],Deployments[DeploymentID],Deployments[Prod])-Issues[[#This Row],[Report Date]]</f>
        <v>3</v>
      </c>
      <c r="E3" s="20" t="n">
        <f aca="false">_xlfn.XLOOKUP(Issues[[#This Row],[Fixed-ReleaseID]],Deployments[DeploymentID],Deployments[Prod])</f>
        <v>45910</v>
      </c>
    </row>
    <row r="4" customFormat="false" ht="15" hidden="false" customHeight="true" outlineLevel="0" collapsed="false">
      <c r="A4" s="5" t="n">
        <v>3</v>
      </c>
      <c r="B4" s="6" t="n">
        <v>45912</v>
      </c>
      <c r="C4" s="5" t="n">
        <v>14</v>
      </c>
      <c r="D4" s="15" t="n">
        <f aca="false">_xlfn.XLOOKUP(Issues[[#This Row],[Fixed-ReleaseID]],Deployments[DeploymentID],Deployments[Prod])-Issues[[#This Row],[Report Date]]</f>
        <v>4</v>
      </c>
      <c r="E4" s="20" t="n">
        <f aca="false">_xlfn.XLOOKUP(Issues[[#This Row],[Fixed-ReleaseID]],Deployments[DeploymentID],Deployments[Prod])</f>
        <v>45916</v>
      </c>
    </row>
    <row r="5" customFormat="false" ht="15" hidden="false" customHeight="true" outlineLevel="0" collapsed="false">
      <c r="A5" s="5" t="n">
        <v>4</v>
      </c>
      <c r="B5" s="6" t="n">
        <v>45918</v>
      </c>
      <c r="C5" s="5" t="n">
        <v>21</v>
      </c>
      <c r="D5" s="15" t="n">
        <f aca="false">_xlfn.XLOOKUP(Issues[[#This Row],[Fixed-ReleaseID]],Deployments[DeploymentID],Deployments[Prod])-Issues[[#This Row],[Report Date]]</f>
        <v>3</v>
      </c>
      <c r="E5" s="20" t="n">
        <f aca="false">_xlfn.XLOOKUP(Issues[[#This Row],[Fixed-ReleaseID]],Deployments[DeploymentID],Deployments[Prod])</f>
        <v>45921</v>
      </c>
    </row>
    <row r="6" customFormat="false" ht="15" hidden="false" customHeight="true" outlineLevel="0" collapsed="false">
      <c r="A6" s="5" t="n">
        <v>5</v>
      </c>
      <c r="B6" s="6" t="n">
        <v>45924</v>
      </c>
      <c r="C6" s="5" t="n">
        <v>30</v>
      </c>
      <c r="D6" s="15" t="n">
        <f aca="false">_xlfn.XLOOKUP(Issues[[#This Row],[Fixed-ReleaseID]],Deployments[DeploymentID],Deployments[Prod])-Issues[[#This Row],[Report Date]]</f>
        <v>3</v>
      </c>
      <c r="E6" s="20" t="n">
        <f aca="false">_xlfn.XLOOKUP(Issues[[#This Row],[Fixed-ReleaseID]],Deployments[DeploymentID],Deployments[Prod])</f>
        <v>45927</v>
      </c>
    </row>
    <row r="7" customFormat="false" ht="15" hidden="false" customHeight="true" outlineLevel="0" collapsed="false">
      <c r="A7" s="5" t="n">
        <v>6</v>
      </c>
      <c r="B7" s="6" t="n">
        <v>45928</v>
      </c>
      <c r="C7" s="5" t="n">
        <v>34</v>
      </c>
      <c r="D7" s="15" t="n">
        <f aca="false">_xlfn.XLOOKUP(Issues[[#This Row],[Fixed-ReleaseID]],Deployments[DeploymentID],Deployments[Prod])-Issues[[#This Row],[Report Date]]</f>
        <v>4</v>
      </c>
      <c r="E7" s="20" t="n">
        <f aca="false">_xlfn.XLOOKUP(Issues[[#This Row],[Fixed-ReleaseID]],Deployments[DeploymentID],Deployments[Prod])</f>
        <v>45932</v>
      </c>
    </row>
    <row r="8" customFormat="false" ht="15" hidden="false" customHeight="true" outlineLevel="0" collapsed="false">
      <c r="A8" s="5" t="n">
        <v>7</v>
      </c>
      <c r="B8" s="6" t="n">
        <v>45932</v>
      </c>
      <c r="C8" s="5" t="n">
        <v>36</v>
      </c>
      <c r="D8" s="15" t="n">
        <f aca="false">_xlfn.XLOOKUP(Issues[[#This Row],[Fixed-ReleaseID]],Deployments[DeploymentID],Deployments[Prod])-Issues[[#This Row],[Report Date]]</f>
        <v>3</v>
      </c>
      <c r="E8" s="20" t="n">
        <f aca="false">_xlfn.XLOOKUP(Issues[[#This Row],[Fixed-ReleaseID]],Deployments[DeploymentID],Deployments[Prod])</f>
        <v>45935</v>
      </c>
    </row>
    <row r="9" customFormat="false" ht="15" hidden="false" customHeight="true" outlineLevel="0" collapsed="false">
      <c r="A9" s="5" t="n">
        <v>8</v>
      </c>
      <c r="B9" s="6" t="n">
        <v>45936</v>
      </c>
      <c r="C9" s="5" t="n">
        <v>40</v>
      </c>
      <c r="D9" s="15" t="n">
        <f aca="false">_xlfn.XLOOKUP(Issues[[#This Row],[Fixed-ReleaseID]],Deployments[DeploymentID],Deployments[Prod])-Issues[[#This Row],[Report Date]]</f>
        <v>3</v>
      </c>
      <c r="E9" s="20" t="n">
        <f aca="false">_xlfn.XLOOKUP(Issues[[#This Row],[Fixed-ReleaseID]],Deployments[DeploymentID],Deployments[Prod])</f>
        <v>45939</v>
      </c>
    </row>
    <row r="10" customFormat="false" ht="15" hidden="false" customHeight="true" outlineLevel="0" collapsed="false">
      <c r="A10" s="5" t="n">
        <v>9</v>
      </c>
      <c r="B10" s="6" t="n">
        <v>45941</v>
      </c>
      <c r="C10" s="5" t="n">
        <v>47</v>
      </c>
      <c r="D10" s="15" t="n">
        <f aca="false">_xlfn.XLOOKUP(Issues[[#This Row],[Fixed-ReleaseID]],Deployments[DeploymentID],Deployments[Prod])-Issues[[#This Row],[Report Date]]</f>
        <v>3</v>
      </c>
      <c r="E10" s="20" t="n">
        <f aca="false">_xlfn.XLOOKUP(Issues[[#This Row],[Fixed-ReleaseID]],Deployments[DeploymentID],Deployments[Prod])</f>
        <v>45944</v>
      </c>
    </row>
    <row r="11" customFormat="false" ht="15" hidden="false" customHeight="true" outlineLevel="0" collapsed="false">
      <c r="A11" s="5" t="n">
        <v>10</v>
      </c>
      <c r="B11" s="6" t="n">
        <v>45945</v>
      </c>
      <c r="C11" s="5" t="n">
        <v>49</v>
      </c>
      <c r="D11" s="15" t="n">
        <f aca="false">_xlfn.XLOOKUP(Issues[[#This Row],[Fixed-ReleaseID]],Deployments[DeploymentID],Deployments[Prod])-Issues[[#This Row],[Report Date]]</f>
        <v>2</v>
      </c>
      <c r="E11" s="20" t="n">
        <f aca="false">_xlfn.XLOOKUP(Issues[[#This Row],[Fixed-ReleaseID]],Deployments[DeploymentID],Deployments[Prod])</f>
        <v>45947</v>
      </c>
    </row>
    <row r="12" customFormat="false" ht="15" hidden="false" customHeight="true" outlineLevel="0" collapsed="false">
      <c r="A12" s="5" t="n">
        <v>11</v>
      </c>
      <c r="B12" s="6" t="n">
        <v>45951</v>
      </c>
      <c r="C12" s="5" t="n">
        <v>59</v>
      </c>
      <c r="D12" s="15" t="n">
        <f aca="false">_xlfn.XLOOKUP(Issues[[#This Row],[Fixed-ReleaseID]],Deployments[DeploymentID],Deployments[Prod])-Issues[[#This Row],[Report Date]]</f>
        <v>4</v>
      </c>
      <c r="E12" s="20" t="n">
        <f aca="false">_xlfn.XLOOKUP(Issues[[#This Row],[Fixed-ReleaseID]],Deployments[DeploymentID],Deployments[Prod])</f>
        <v>45955</v>
      </c>
    </row>
    <row r="13" customFormat="false" ht="15" hidden="false" customHeight="true" outlineLevel="0" collapsed="false">
      <c r="A13" s="5" t="n">
        <v>12</v>
      </c>
      <c r="B13" s="6" t="n">
        <v>45956</v>
      </c>
      <c r="C13" s="5" t="n">
        <v>62</v>
      </c>
      <c r="D13" s="15" t="n">
        <f aca="false">_xlfn.XLOOKUP(Issues[[#This Row],[Fixed-ReleaseID]],Deployments[DeploymentID],Deployments[Prod])-Issues[[#This Row],[Report Date]]</f>
        <v>5</v>
      </c>
      <c r="E13" s="20" t="n">
        <f aca="false">_xlfn.XLOOKUP(Issues[[#This Row],[Fixed-ReleaseID]],Deployments[DeploymentID],Deployments[Prod])</f>
        <v>45961</v>
      </c>
    </row>
    <row r="14" customFormat="false" ht="15" hidden="false" customHeight="true" outlineLevel="0" collapsed="false">
      <c r="A14" s="5" t="n">
        <v>13</v>
      </c>
      <c r="B14" s="6" t="n">
        <v>45962</v>
      </c>
      <c r="C14" s="5" t="n">
        <v>68</v>
      </c>
      <c r="D14" s="15" t="n">
        <f aca="false">_xlfn.XLOOKUP(Issues[[#This Row],[Fixed-ReleaseID]],Deployments[DeploymentID],Deployments[Prod])-Issues[[#This Row],[Report Date]]</f>
        <v>5</v>
      </c>
      <c r="E14" s="20" t="n">
        <f aca="false">_xlfn.XLOOKUP(Issues[[#This Row],[Fixed-ReleaseID]],Deployments[DeploymentID],Deployments[Prod])</f>
        <v>45967</v>
      </c>
    </row>
    <row r="15" customFormat="false" ht="15" hidden="false" customHeight="true" outlineLevel="0" collapsed="false">
      <c r="A15" s="5" t="n">
        <v>14</v>
      </c>
      <c r="B15" s="6" t="n">
        <v>45968</v>
      </c>
      <c r="C15" s="5" t="n">
        <v>71</v>
      </c>
      <c r="D15" s="15" t="n">
        <f aca="false">_xlfn.XLOOKUP(Issues[[#This Row],[Fixed-ReleaseID]],Deployments[DeploymentID],Deployments[Prod])-Issues[[#This Row],[Report Date]]</f>
        <v>5</v>
      </c>
      <c r="E15" s="20" t="n">
        <f aca="false">_xlfn.XLOOKUP(Issues[[#This Row],[Fixed-ReleaseID]],Deployments[DeploymentID],Deployments[Prod])</f>
        <v>45973</v>
      </c>
    </row>
    <row r="16" customFormat="false" ht="15" hidden="false" customHeight="true" outlineLevel="0" collapsed="false">
      <c r="A16" s="5" t="n">
        <v>15</v>
      </c>
      <c r="B16" s="6" t="n">
        <v>45973</v>
      </c>
      <c r="C16" s="5" t="n">
        <v>73</v>
      </c>
      <c r="D16" s="15" t="n">
        <f aca="false">_xlfn.XLOOKUP(Issues[[#This Row],[Fixed-ReleaseID]],Deployments[DeploymentID],Deployments[Prod])-Issues[[#This Row],[Report Date]]</f>
        <v>3</v>
      </c>
      <c r="E16" s="20" t="n">
        <f aca="false">_xlfn.XLOOKUP(Issues[[#This Row],[Fixed-ReleaseID]],Deployments[DeploymentID],Deployments[Prod])</f>
        <v>45976</v>
      </c>
    </row>
    <row r="17" customFormat="false" ht="15" hidden="false" customHeight="true" outlineLevel="0" collapsed="false">
      <c r="A17" s="5" t="n">
        <v>16</v>
      </c>
      <c r="B17" s="6" t="n">
        <v>45977</v>
      </c>
      <c r="C17" s="5" t="n">
        <v>76</v>
      </c>
      <c r="D17" s="15" t="n">
        <f aca="false">_xlfn.XLOOKUP(Issues[[#This Row],[Fixed-ReleaseID]],Deployments[DeploymentID],Deployments[Prod])-Issues[[#This Row],[Report Date]]</f>
        <v>4</v>
      </c>
      <c r="E17" s="20" t="n">
        <f aca="false">_xlfn.XLOOKUP(Issues[[#This Row],[Fixed-ReleaseID]],Deployments[DeploymentID],Deployments[Prod])</f>
        <v>45981</v>
      </c>
    </row>
    <row r="18" customFormat="false" ht="15" hidden="false" customHeight="true" outlineLevel="0" collapsed="false">
      <c r="A18" s="5" t="n">
        <v>17</v>
      </c>
      <c r="B18" s="6" t="n">
        <v>45982</v>
      </c>
      <c r="C18" s="5" t="n">
        <v>78</v>
      </c>
      <c r="D18" s="15" t="n">
        <f aca="false">_xlfn.XLOOKUP(Issues[[#This Row],[Fixed-ReleaseID]],Deployments[DeploymentID],Deployments[Prod])-Issues[[#This Row],[Report Date]]</f>
        <v>2</v>
      </c>
      <c r="E18" s="20" t="n">
        <f aca="false">_xlfn.XLOOKUP(Issues[[#This Row],[Fixed-ReleaseID]],Deployments[DeploymentID],Deployments[Prod])</f>
        <v>45984</v>
      </c>
    </row>
    <row r="19" customFormat="false" ht="15" hidden="false" customHeight="true" outlineLevel="0" collapsed="false">
      <c r="A19" s="5" t="n">
        <v>18</v>
      </c>
      <c r="B19" s="6" t="n">
        <v>45985</v>
      </c>
      <c r="C19" s="5" t="n">
        <v>80</v>
      </c>
      <c r="D19" s="15" t="n">
        <f aca="false">_xlfn.XLOOKUP(Issues[[#This Row],[Fixed-ReleaseID]],Deployments[DeploymentID],Deployments[Prod])-Issues[[#This Row],[Report Date]]</f>
        <v>4</v>
      </c>
      <c r="E19" s="20" t="n">
        <f aca="false">_xlfn.XLOOKUP(Issues[[#This Row],[Fixed-ReleaseID]],Deployments[DeploymentID],Deployments[Prod])</f>
        <v>45989</v>
      </c>
    </row>
    <row r="20" customFormat="false" ht="15" hidden="false" customHeight="false" outlineLevel="0" collapsed="false">
      <c r="A20" s="1" t="n">
        <v>19</v>
      </c>
      <c r="B20" s="7" t="n">
        <v>45991</v>
      </c>
      <c r="C20" s="1" t="n">
        <v>88</v>
      </c>
      <c r="D20" s="21" t="n">
        <f aca="false">_xlfn.XLOOKUP(Issues[[#This Row],[Fixed-ReleaseID]],Deployments[DeploymentID],Deployments[Prod])-Issues[[#This Row],[Report Date]]</f>
        <v>3</v>
      </c>
      <c r="E20" s="7" t="n">
        <f aca="false">_xlfn.XLOOKUP(Issues[[#This Row],[Fixed-ReleaseID]],Deployments[DeploymentID],Deployments[Prod])</f>
        <v>45994</v>
      </c>
    </row>
    <row r="21" customFormat="false" ht="15" hidden="false" customHeight="false" outlineLevel="0" collapsed="false">
      <c r="A21" s="1" t="n">
        <v>20</v>
      </c>
      <c r="B21" s="7" t="n">
        <v>45997</v>
      </c>
      <c r="C21" s="1" t="n">
        <v>97</v>
      </c>
      <c r="D21" s="21" t="n">
        <f aca="false">_xlfn.XLOOKUP(Issues[[#This Row],[Fixed-ReleaseID]],Deployments[DeploymentID],Deployments[Prod])-Issues[[#This Row],[Report Date]]</f>
        <v>3</v>
      </c>
      <c r="E21" s="7" t="n">
        <f aca="false">_xlfn.XLOOKUP(Issues[[#This Row],[Fixed-ReleaseID]],Deployments[DeploymentID],Deployments[Prod])</f>
        <v>46000</v>
      </c>
    </row>
    <row r="22" customFormat="false" ht="15" hidden="false" customHeight="false" outlineLevel="0" collapsed="false">
      <c r="A22" s="1" t="n">
        <v>21</v>
      </c>
      <c r="B22" s="7" t="n">
        <v>46001</v>
      </c>
      <c r="C22" s="1" t="n">
        <v>100</v>
      </c>
      <c r="D22" s="21" t="n">
        <f aca="false">_xlfn.XLOOKUP(Issues[[#This Row],[Fixed-ReleaseID]],Deployments[DeploymentID],Deployments[Prod])-Issues[[#This Row],[Report Date]]</f>
        <v>5</v>
      </c>
      <c r="E22" s="7" t="n">
        <f aca="false">_xlfn.XLOOKUP(Issues[[#This Row],[Fixed-ReleaseID]],Deployments[DeploymentID],Deployments[Prod])</f>
        <v>46006</v>
      </c>
    </row>
    <row r="23" customFormat="false" ht="15" hidden="false" customHeight="false" outlineLevel="0" collapsed="false">
      <c r="A23" s="1" t="n">
        <v>22</v>
      </c>
      <c r="B23" s="7" t="n">
        <v>46007</v>
      </c>
      <c r="C23" s="1" t="n">
        <v>105</v>
      </c>
      <c r="D23" s="21" t="n">
        <f aca="false">_xlfn.XLOOKUP(Issues[[#This Row],[Fixed-ReleaseID]],Deployments[DeploymentID],Deployments[Prod])-Issues[[#This Row],[Report Date]]</f>
        <v>5</v>
      </c>
      <c r="E23" s="7" t="n">
        <f aca="false">_xlfn.XLOOKUP(Issues[[#This Row],[Fixed-ReleaseID]],Deployments[DeploymentID],Deployments[Prod])</f>
        <v>46012</v>
      </c>
    </row>
    <row r="24" customFormat="false" ht="15" hidden="false" customHeight="false" outlineLevel="0" collapsed="false">
      <c r="A24" s="1" t="n">
        <v>23</v>
      </c>
      <c r="B24" s="7" t="n">
        <v>46013</v>
      </c>
      <c r="C24" s="1" t="n">
        <v>108</v>
      </c>
      <c r="D24" s="21" t="n">
        <f aca="false">_xlfn.XLOOKUP(Issues[[#This Row],[Fixed-ReleaseID]],Deployments[DeploymentID],Deployments[Prod])-Issues[[#This Row],[Report Date]]</f>
        <v>3</v>
      </c>
      <c r="E24" s="7" t="n">
        <f aca="false">_xlfn.XLOOKUP(Issues[[#This Row],[Fixed-ReleaseID]],Deployments[DeploymentID],Deployments[Prod])</f>
        <v>46016</v>
      </c>
    </row>
    <row r="25" customFormat="false" ht="15" hidden="false" customHeight="false" outlineLevel="0" collapsed="false">
      <c r="A25" s="1" t="n">
        <v>24</v>
      </c>
      <c r="B25" s="7" t="n">
        <v>46017</v>
      </c>
      <c r="C25" s="1" t="n">
        <v>110</v>
      </c>
      <c r="D25" s="21" t="n">
        <f aca="false">_xlfn.XLOOKUP(Issues[[#This Row],[Fixed-ReleaseID]],Deployments[DeploymentID],Deployments[Prod])-Issues[[#This Row],[Report Date]]</f>
        <v>3</v>
      </c>
      <c r="E25" s="7" t="n">
        <f aca="false">_xlfn.XLOOKUP(Issues[[#This Row],[Fixed-ReleaseID]],Deployments[DeploymentID],Deployments[Prod])</f>
        <v>46020</v>
      </c>
    </row>
    <row r="26" customFormat="false" ht="15" hidden="false" customHeight="false" outlineLevel="0" collapsed="false">
      <c r="A26" s="1" t="n">
        <v>25</v>
      </c>
      <c r="B26" s="7" t="n">
        <v>46021</v>
      </c>
      <c r="C26" s="1" t="n">
        <v>112</v>
      </c>
      <c r="D26" s="21" t="n">
        <f aca="false">_xlfn.XLOOKUP(Issues[[#This Row],[Fixed-ReleaseID]],Deployments[DeploymentID],Deployments[Prod])-Issues[[#This Row],[Report Date]]</f>
        <v>5</v>
      </c>
      <c r="E26" s="7" t="n">
        <f aca="false">_xlfn.XLOOKUP(Issues[[#This Row],[Fixed-ReleaseID]],Deployments[DeploymentID],Deployments[Prod])</f>
        <v>46026</v>
      </c>
    </row>
    <row r="27" customFormat="false" ht="15" hidden="false" customHeight="false" outlineLevel="0" collapsed="false">
      <c r="A27" s="1" t="n">
        <v>26</v>
      </c>
      <c r="B27" s="7" t="n">
        <v>46027</v>
      </c>
      <c r="C27" s="1" t="n">
        <v>118</v>
      </c>
      <c r="D27" s="21" t="n">
        <f aca="false">_xlfn.XLOOKUP(Issues[[#This Row],[Fixed-ReleaseID]],Deployments[DeploymentID],Deployments[Prod])-Issues[[#This Row],[Report Date]]</f>
        <v>5</v>
      </c>
      <c r="E27" s="7" t="n">
        <f aca="false">_xlfn.XLOOKUP(Issues[[#This Row],[Fixed-ReleaseID]],Deployments[DeploymentID],Deployments[Prod])</f>
        <v>46032</v>
      </c>
    </row>
    <row r="28" customFormat="false" ht="15" hidden="false" customHeight="false" outlineLevel="0" collapsed="false">
      <c r="A28" s="1" t="n">
        <v>27</v>
      </c>
      <c r="B28" s="7" t="n">
        <v>46032</v>
      </c>
      <c r="C28" s="1" t="n">
        <v>121</v>
      </c>
      <c r="D28" s="21" t="n">
        <f aca="false">_xlfn.XLOOKUP(Issues[[#This Row],[Fixed-ReleaseID]],Deployments[DeploymentID],Deployments[Prod])-Issues[[#This Row],[Report Date]]</f>
        <v>4</v>
      </c>
      <c r="E28" s="7" t="n">
        <f aca="false">_xlfn.XLOOKUP(Issues[[#This Row],[Fixed-ReleaseID]],Deployments[DeploymentID],Deployments[Prod])</f>
        <v>46036</v>
      </c>
    </row>
    <row r="29" customFormat="false" ht="15" hidden="false" customHeight="false" outlineLevel="0" collapsed="false">
      <c r="A29" s="1" t="n">
        <v>28</v>
      </c>
      <c r="B29" s="7" t="n">
        <v>46042</v>
      </c>
      <c r="C29" s="1" t="n">
        <v>137</v>
      </c>
      <c r="D29" s="21" t="n">
        <f aca="false">_xlfn.XLOOKUP(Issues[[#This Row],[Fixed-ReleaseID]],Deployments[DeploymentID],Deployments[Prod])-Issues[[#This Row],[Report Date]]</f>
        <v>3</v>
      </c>
      <c r="E29" s="7" t="n">
        <f aca="false">_xlfn.XLOOKUP(Issues[[#This Row],[Fixed-ReleaseID]],Deployments[DeploymentID],Deployments[Prod])</f>
        <v>46045</v>
      </c>
    </row>
    <row r="30" customFormat="false" ht="15" hidden="false" customHeight="false" outlineLevel="0" collapsed="false">
      <c r="A30" s="1" t="n">
        <v>29</v>
      </c>
      <c r="B30" s="7" t="n">
        <v>46046</v>
      </c>
      <c r="C30" s="1" t="n">
        <v>140</v>
      </c>
      <c r="D30" s="21" t="n">
        <f aca="false">_xlfn.XLOOKUP(Issues[[#This Row],[Fixed-ReleaseID]],Deployments[DeploymentID],Deployments[Prod])-Issues[[#This Row],[Report Date]]</f>
        <v>4</v>
      </c>
      <c r="E30" s="7" t="n">
        <f aca="false">_xlfn.XLOOKUP(Issues[[#This Row],[Fixed-ReleaseID]],Deployments[DeploymentID],Deployments[Prod])</f>
        <v>46050</v>
      </c>
    </row>
    <row r="31" customFormat="false" ht="15" hidden="false" customHeight="false" outlineLevel="0" collapsed="false">
      <c r="A31" s="1" t="n">
        <v>30</v>
      </c>
      <c r="B31" s="7" t="n">
        <v>46051</v>
      </c>
      <c r="C31" s="1" t="n">
        <v>144</v>
      </c>
      <c r="D31" s="21" t="n">
        <f aca="false">_xlfn.XLOOKUP(Issues[[#This Row],[Fixed-ReleaseID]],Deployments[DeploymentID],Deployments[Prod])-Issues[[#This Row],[Report Date]]</f>
        <v>3</v>
      </c>
      <c r="E31" s="7" t="n">
        <f aca="false">_xlfn.XLOOKUP(Issues[[#This Row],[Fixed-ReleaseID]],Deployments[DeploymentID],Deployments[Prod])</f>
        <v>46054</v>
      </c>
    </row>
    <row r="32" customFormat="false" ht="15" hidden="false" customHeight="false" outlineLevel="0" collapsed="false">
      <c r="A32" s="1" t="n">
        <v>31</v>
      </c>
      <c r="B32" s="7" t="n">
        <v>46057</v>
      </c>
      <c r="C32" s="1" t="n">
        <v>154</v>
      </c>
      <c r="D32" s="21" t="n">
        <f aca="false">_xlfn.XLOOKUP(Issues[[#This Row],[Fixed-ReleaseID]],Deployments[DeploymentID],Deployments[Prod])-Issues[[#This Row],[Report Date]]</f>
        <v>5</v>
      </c>
      <c r="E32" s="7" t="n">
        <f aca="false">_xlfn.XLOOKUP(Issues[[#This Row],[Fixed-ReleaseID]],Deployments[DeploymentID],Deployments[Prod])</f>
        <v>46062</v>
      </c>
    </row>
    <row r="33" customFormat="false" ht="15" hidden="false" customHeight="false" outlineLevel="0" collapsed="false">
      <c r="A33" s="1" t="n">
        <v>32</v>
      </c>
      <c r="B33" s="7" t="n">
        <v>46063</v>
      </c>
      <c r="C33" s="1" t="n">
        <v>160</v>
      </c>
      <c r="D33" s="21" t="n">
        <f aca="false">_xlfn.XLOOKUP(Issues[[#This Row],[Fixed-ReleaseID]],Deployments[DeploymentID],Deployments[Prod])-Issues[[#This Row],[Report Date]]</f>
        <v>4</v>
      </c>
      <c r="E33" s="7" t="n">
        <f aca="false">_xlfn.XLOOKUP(Issues[[#This Row],[Fixed-ReleaseID]],Deployments[DeploymentID],Deployments[Prod])</f>
        <v>46067</v>
      </c>
    </row>
    <row r="34" customFormat="false" ht="15" hidden="false" customHeight="false" outlineLevel="0" collapsed="false">
      <c r="A34" s="1" t="n">
        <v>33</v>
      </c>
      <c r="B34" s="7" t="n">
        <v>46068</v>
      </c>
      <c r="C34" s="1" t="n">
        <v>165</v>
      </c>
      <c r="D34" s="21" t="n">
        <f aca="false">_xlfn.XLOOKUP(Issues[[#This Row],[Fixed-ReleaseID]],Deployments[DeploymentID],Deployments[Prod])-Issues[[#This Row],[Report Date]]</f>
        <v>3</v>
      </c>
      <c r="E34" s="7" t="n">
        <f aca="false">_xlfn.XLOOKUP(Issues[[#This Row],[Fixed-ReleaseID]],Deployments[DeploymentID],Deployments[Prod])</f>
        <v>46071</v>
      </c>
    </row>
    <row r="35" customFormat="false" ht="15" hidden="false" customHeight="false" outlineLevel="0" collapsed="false">
      <c r="A35" s="1" t="n">
        <v>34</v>
      </c>
      <c r="B35" s="7" t="n">
        <v>46077</v>
      </c>
      <c r="C35" s="1" t="n">
        <v>183</v>
      </c>
      <c r="D35" s="21" t="n">
        <f aca="false">_xlfn.XLOOKUP(Issues[[#This Row],[Fixed-ReleaseID]],Deployments[DeploymentID],Deployments[Prod])-Issues[[#This Row],[Report Date]]</f>
        <v>5</v>
      </c>
      <c r="E35" s="7" t="n">
        <f aca="false">_xlfn.XLOOKUP(Issues[[#This Row],[Fixed-ReleaseID]],Deployments[DeploymentID],Deployments[Prod])</f>
        <v>46082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3" style="1" width="9.3"/>
    <col collapsed="false" customWidth="true" hidden="false" outlineLevel="0" max="4" min="4" style="1" width="27.7"/>
    <col collapsed="false" customWidth="true" hidden="false" outlineLevel="0" max="5" min="5" style="1" width="13.86"/>
    <col collapsed="false" customWidth="true" hidden="false" outlineLevel="0" max="6" min="6" style="1" width="14.46"/>
    <col collapsed="false" customWidth="true" hidden="false" outlineLevel="0" max="7" min="7" style="1" width="10.43"/>
    <col collapsed="false" customWidth="true" hidden="false" outlineLevel="0" max="8" min="8" style="1" width="12.62"/>
    <col collapsed="false" customWidth="true" hidden="false" outlineLevel="0" max="9" min="9" style="1" width="15.44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5" hidden="false" customHeight="true" outlineLevel="0" collapsed="false">
      <c r="A1" s="22"/>
      <c r="B1" s="22"/>
      <c r="C1" s="22"/>
      <c r="D1" s="7" t="n">
        <v>45901</v>
      </c>
      <c r="E1" s="7" t="n">
        <v>45931</v>
      </c>
      <c r="F1" s="7" t="n">
        <v>45962</v>
      </c>
      <c r="G1" s="7" t="n">
        <v>45992</v>
      </c>
      <c r="H1" s="7" t="n">
        <v>46023</v>
      </c>
      <c r="I1" s="7" t="n">
        <v>46054</v>
      </c>
      <c r="J1" s="7" t="n">
        <v>46082</v>
      </c>
      <c r="K1" s="23" t="n">
        <v>46113</v>
      </c>
    </row>
    <row r="2" s="24" customFormat="true" ht="15" hidden="false" customHeight="true" outlineLevel="0" collapsed="false">
      <c r="A2" s="15" t="s">
        <v>11</v>
      </c>
      <c r="B2" s="15"/>
      <c r="C2" s="15" t="n">
        <f aca="false">(MAX(Deployments[Acc])-MIN(Deployments[Acc]))/COUNTA(Deployments[Acc])</f>
        <v>0.989071038251366</v>
      </c>
      <c r="D2" s="24" t="s">
        <v>12</v>
      </c>
      <c r="E2" s="24" t="n">
        <f aca="false">COUNTIFS(Deployments[Acc],"&gt;="&amp;D$1,Deployments[Acc],"&lt;"&amp;E$1)</f>
        <v>33</v>
      </c>
      <c r="F2" s="24" t="n">
        <f aca="false">COUNTIFS(Deployments[Acc],"&gt;="&amp;E$1,Deployments[Acc],"&lt;"&amp;F$1)</f>
        <v>31</v>
      </c>
      <c r="G2" s="24" t="n">
        <f aca="false">COUNTIFS(Deployments[Acc],"&gt;="&amp;F$1,Deployments[Acc],"&lt;"&amp;G$1)</f>
        <v>23</v>
      </c>
      <c r="H2" s="24" t="n">
        <f aca="false">COUNTIFS(Deployments[Acc],"&gt;="&amp;G$1,Deployments[Acc],"&lt;"&amp;H$1)</f>
        <v>24</v>
      </c>
      <c r="I2" s="24" t="n">
        <f aca="false">COUNTIFS(Deployments[Acc],"&gt;="&amp;H$1,Deployments[Acc],"&lt;"&amp;I$1)</f>
        <v>32</v>
      </c>
      <c r="J2" s="24" t="n">
        <f aca="false">COUNTIFS(Deployments[Acc],"&gt;="&amp;I$1,Deployments[Acc],"&lt;"&amp;J$1)</f>
        <v>39</v>
      </c>
      <c r="K2" s="24" t="n">
        <f aca="false">COUNTIFS(Deployments[Acc],"&gt;="&amp;J$1,Deployments[Acc],"&lt;"&amp;K$1)</f>
        <v>1</v>
      </c>
      <c r="L2" s="24" t="n">
        <f aca="false">COUNTIFS(Deployments[Acc],"&gt;="&amp;K$1,Deployments[Acc],"&lt;"&amp;L$1)</f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24" t="n">
        <f aca="false">COUNTIFS(Deployments[Acc],"&gt;="&amp;N$1,Deployments[Acc],"&lt;"&amp;O$1)</f>
        <v>0</v>
      </c>
      <c r="P2" s="24" t="n">
        <f aca="false">COUNTIFS(Deployments[Acc],"&gt;="&amp;O$1,Deployments[Acc],"&lt;"&amp;P$1)</f>
        <v>0</v>
      </c>
      <c r="Q2" s="24" t="n">
        <f aca="false">COUNTIFS(Deployments[Acc],"&gt;="&amp;P$1,Deployments[Acc],"&lt;"&amp;Q$1)</f>
        <v>0</v>
      </c>
      <c r="R2" s="24" t="n">
        <f aca="false">COUNTIFS(Deployments[Acc],"&gt;="&amp;Q$1,Deployments[Acc],"&lt;"&amp;R$1)</f>
        <v>0</v>
      </c>
      <c r="S2" s="24" t="n">
        <f aca="false">COUNTIFS(Deployments[Acc],"&gt;="&amp;R$1,Deployments[Acc],"&lt;"&amp;S$1)</f>
        <v>0</v>
      </c>
      <c r="T2" s="24" t="n">
        <f aca="false">COUNTIFS(Deployments[Acc],"&gt;="&amp;S$1,Deployments[Acc],"&lt;"&amp;T$1)</f>
        <v>0</v>
      </c>
      <c r="U2" s="24" t="n">
        <f aca="false">COUNTIFS(Deployments[Acc],"&gt;="&amp;T$1,Deployments[Acc],"&lt;"&amp;U$1)</f>
        <v>0</v>
      </c>
      <c r="V2" s="24" t="n">
        <f aca="false">COUNTIFS(Deployments[Acc],"&gt;="&amp;U$1,Deployments[Acc],"&lt;"&amp;V$1)</f>
        <v>0</v>
      </c>
      <c r="W2" s="24" t="n">
        <f aca="false">COUNTIFS(Deployments[Acc],"&gt;="&amp;V$1,Deployments[Acc],"&lt;"&amp;W$1)</f>
        <v>0</v>
      </c>
      <c r="X2" s="24" t="n">
        <f aca="false">COUNTIFS(Deployments[Acc],"&gt;="&amp;W$1,Deployments[Acc],"&lt;"&amp;X$1)</f>
        <v>0</v>
      </c>
      <c r="Y2" s="24" t="n">
        <f aca="false">COUNTIFS(Deployments[Acc],"&gt;="&amp;X$1,Deployments[Acc],"&lt;"&amp;Y$1)</f>
        <v>0</v>
      </c>
      <c r="Z2" s="24" t="n">
        <f aca="false">COUNTIFS(Deployments[Acc],"&gt;="&amp;Y$1,Deployments[Acc],"&lt;"&amp;Z$1)</f>
        <v>0</v>
      </c>
      <c r="AA2" s="24" t="n">
        <f aca="false">COUNTIFS(Deployments[Acc],"&gt;="&amp;Z$1,Deployments[Acc],"&lt;"&amp;AA$1)</f>
        <v>0</v>
      </c>
      <c r="AB2" s="24" t="n">
        <f aca="false">COUNTIFS(Deployments[Acc],"&gt;="&amp;AA$1,Deployments[Acc],"&lt;"&amp;AB$1)</f>
        <v>0</v>
      </c>
      <c r="AC2" s="24" t="n">
        <f aca="false">COUNTIFS(Deployments[Acc],"&gt;="&amp;AB$1,Deployments[Acc],"&lt;"&amp;AC$1)</f>
        <v>0</v>
      </c>
      <c r="AD2" s="24" t="n">
        <f aca="false">COUNTIFS(Deployments[Acc],"&gt;="&amp;AC$1,Deployments[Acc],"&lt;"&amp;AD$1)</f>
        <v>0</v>
      </c>
      <c r="AE2" s="24" t="n">
        <f aca="false">COUNTIFS(Deployments[Acc],"&gt;="&amp;AD$1,Deployments[Acc],"&lt;"&amp;AE$1)</f>
        <v>0</v>
      </c>
      <c r="AF2" s="24" t="n">
        <f aca="false">COUNTIFS(Deployments[Acc],"&gt;="&amp;AE$1,Deployments[Acc],"&lt;"&amp;AF$1)</f>
        <v>0</v>
      </c>
    </row>
    <row r="3" customFormat="false" ht="15" hidden="false" customHeight="true" outlineLevel="0" collapsed="false">
      <c r="A3" s="25" t="s">
        <v>13</v>
      </c>
      <c r="B3" s="25"/>
      <c r="C3" s="15" t="n">
        <f aca="false">(MAX(Deployments[Prod])-MIN(Deployments[Prod]))/COUNTA(Deployments[Prod])</f>
        <v>0.989071038251366</v>
      </c>
      <c r="D3" s="24" t="s">
        <v>12</v>
      </c>
      <c r="E3" s="1" t="n">
        <f aca="false">COUNTIFS(Deployments[Prod],"&gt;="&amp;D$1,Deployments[Prod],"&lt;"&amp;E$1)</f>
        <v>33</v>
      </c>
      <c r="F3" s="1" t="n">
        <f aca="false">COUNTIFS(Deployments[Prod],"&gt;="&amp;E$1,Deployments[Prod],"&lt;"&amp;F$1)</f>
        <v>31</v>
      </c>
      <c r="G3" s="1" t="n">
        <f aca="false">COUNTIFS(Deployments[Prod],"&gt;="&amp;F$1,Deployments[Prod],"&lt;"&amp;G$1)</f>
        <v>23</v>
      </c>
      <c r="H3" s="1" t="n">
        <f aca="false">COUNTIFS(Deployments[Prod],"&gt;="&amp;G$1,Deployments[Prod],"&lt;"&amp;H$1)</f>
        <v>24</v>
      </c>
      <c r="I3" s="1" t="n">
        <f aca="false">COUNTIFS(Deployments[Prod],"&gt;="&amp;H$1,Deployments[Prod],"&lt;"&amp;I$1)</f>
        <v>32</v>
      </c>
      <c r="J3" s="1" t="n">
        <f aca="false">COUNTIFS(Deployments[Prod],"&gt;="&amp;I$1,Deployments[Prod],"&lt;"&amp;J$1)</f>
        <v>39</v>
      </c>
      <c r="K3" s="1" t="n">
        <f aca="false">COUNTIFS(Deployments[Prod],"&gt;="&amp;J$1,Deployments[Prod],"&lt;"&amp;K$1)</f>
        <v>1</v>
      </c>
      <c r="L3" s="1" t="n">
        <f aca="false">COUNTIFS(Deployments[Prod],"&gt;="&amp;K$1,Deployments[Prod],"&lt;"&amp;L$1)</f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  <c r="O3" s="1" t="n">
        <f aca="false">COUNTIFS(Deployments[Prod],"&gt;="&amp;N$1,Deployments[Prod],"&lt;"&amp;O$1)</f>
        <v>0</v>
      </c>
      <c r="P3" s="1" t="n">
        <f aca="false">COUNTIFS(Deployments[Prod],"&gt;="&amp;O$1,Deployments[Prod],"&lt;"&amp;P$1)</f>
        <v>0</v>
      </c>
      <c r="Q3" s="1" t="n">
        <f aca="false">COUNTIFS(Deployments[Prod],"&gt;="&amp;P$1,Deployments[Prod],"&lt;"&amp;Q$1)</f>
        <v>0</v>
      </c>
      <c r="R3" s="1" t="n">
        <f aca="false">COUNTIFS(Deployments[Prod],"&gt;="&amp;Q$1,Deployments[Prod],"&lt;"&amp;R$1)</f>
        <v>0</v>
      </c>
      <c r="S3" s="1" t="n">
        <f aca="false">COUNTIFS(Deployments[Prod],"&gt;="&amp;R$1,Deployments[Prod],"&lt;"&amp;S$1)</f>
        <v>0</v>
      </c>
      <c r="T3" s="1" t="n">
        <f aca="false">COUNTIFS(Deployments[Prod],"&gt;="&amp;S$1,Deployments[Prod],"&lt;"&amp;T$1)</f>
        <v>0</v>
      </c>
      <c r="U3" s="1" t="n">
        <f aca="false">COUNTIFS(Deployments[Prod],"&gt;="&amp;T$1,Deployments[Prod],"&lt;"&amp;U$1)</f>
        <v>0</v>
      </c>
      <c r="V3" s="1" t="n">
        <f aca="false">COUNTIFS(Deployments[Prod],"&gt;="&amp;U$1,Deployments[Prod],"&lt;"&amp;V$1)</f>
        <v>0</v>
      </c>
      <c r="W3" s="1" t="n">
        <f aca="false">COUNTIFS(Deployments[Prod],"&gt;="&amp;V$1,Deployments[Prod],"&lt;"&amp;W$1)</f>
        <v>0</v>
      </c>
      <c r="X3" s="1" t="n">
        <f aca="false">COUNTIFS(Deployments[Prod],"&gt;="&amp;W$1,Deployments[Prod],"&lt;"&amp;X$1)</f>
        <v>0</v>
      </c>
      <c r="Y3" s="1" t="n">
        <f aca="false">COUNTIFS(Deployments[Prod],"&gt;="&amp;X$1,Deployments[Prod],"&lt;"&amp;Y$1)</f>
        <v>0</v>
      </c>
      <c r="Z3" s="1" t="n">
        <f aca="false">COUNTIFS(Deployments[Prod],"&gt;="&amp;Y$1,Deployments[Prod],"&lt;"&amp;Z$1)</f>
        <v>0</v>
      </c>
      <c r="AA3" s="1" t="n">
        <f aca="false">COUNTIFS(Deployments[Prod],"&gt;="&amp;Z$1,Deployments[Prod],"&lt;"&amp;AA$1)</f>
        <v>0</v>
      </c>
      <c r="AB3" s="1" t="n">
        <f aca="false">COUNTIFS(Deployments[Prod],"&gt;="&amp;AA$1,Deployments[Prod],"&lt;"&amp;AB$1)</f>
        <v>0</v>
      </c>
      <c r="AC3" s="1" t="n">
        <f aca="false">COUNTIFS(Deployments[Prod],"&gt;="&amp;AB$1,Deployments[Prod],"&lt;"&amp;AC$1)</f>
        <v>0</v>
      </c>
      <c r="AD3" s="1" t="n">
        <f aca="false">COUNTIFS(Deployments[Prod],"&gt;="&amp;AC$1,Deployments[Prod],"&lt;"&amp;AD$1)</f>
        <v>0</v>
      </c>
      <c r="AE3" s="1" t="n">
        <f aca="false">COUNTIFS(Deployments[Prod],"&gt;="&amp;AD$1,Deployments[Prod],"&lt;"&amp;AE$1)</f>
        <v>0</v>
      </c>
      <c r="AF3" s="1" t="n">
        <f aca="false">COUNTIFS(Deployments[Prod],"&gt;="&amp;AE$1,Deployments[Prod],"&lt;"&amp;AF$1)</f>
        <v>0</v>
      </c>
    </row>
    <row r="4" s="1" customFormat="true" ht="15" hidden="false" customHeight="true" outlineLevel="0" collapsed="false">
      <c r="A4" s="25" t="s">
        <v>14</v>
      </c>
      <c r="B4" s="25"/>
      <c r="C4" s="25" t="n">
        <f aca="false">SUM(Deployments[failed?])/COUNT(Deployments[failed?])</f>
        <v>0.185792349726776</v>
      </c>
      <c r="D4" s="1" t="s">
        <v>15</v>
      </c>
      <c r="E4" s="26" t="n">
        <f aca="false">IFERROR(SUMIFS(Deployments[failed?],Deployments[Prod],"&gt;="&amp;D$1,Deployments[Prod],"&lt;"&amp;E$1)/COUNTIFS(Deployments[Prod],"&gt;="&amp;D$1,Deployments[Prod],"&lt;"&amp;E$1),0)</f>
        <v>0.181818181818182</v>
      </c>
      <c r="F4" s="26" t="n">
        <f aca="false">IFERROR(SUMIFS(Deployments[failed?],Deployments[Prod],"&gt;="&amp;E$1,Deployments[Prod],"&lt;"&amp;F$1)/COUNTIFS(Deployments[Prod],"&gt;="&amp;E$1,Deployments[Prod],"&lt;"&amp;F$1),0)</f>
        <v>0.193548387096774</v>
      </c>
      <c r="G4" s="26" t="n">
        <f aca="false">IFERROR(SUMIFS(Deployments[failed?],Deployments[Prod],"&gt;="&amp;F$1,Deployments[Prod],"&lt;"&amp;G$1)/COUNTIFS(Deployments[Prod],"&gt;="&amp;F$1,Deployments[Prod],"&lt;"&amp;G$1),0)</f>
        <v>0.304347826086957</v>
      </c>
      <c r="H4" s="26" t="n">
        <f aca="false">IFERROR(SUMIFS(Deployments[failed?],Deployments[Prod],"&gt;="&amp;G$1,Deployments[Prod],"&lt;"&amp;H$1)/COUNTIFS(Deployments[Prod],"&gt;="&amp;G$1,Deployments[Prod],"&lt;"&amp;H$1),0)</f>
        <v>0.25</v>
      </c>
      <c r="I4" s="26" t="n">
        <f aca="false">IFERROR(SUMIFS(Deployments[failed?],Deployments[Prod],"&gt;="&amp;H$1,Deployments[Prod],"&lt;"&amp;I$1)/COUNTIFS(Deployments[Prod],"&gt;="&amp;H$1,Deployments[Prod],"&lt;"&amp;I$1),0)</f>
        <v>0.15625</v>
      </c>
      <c r="J4" s="26" t="n">
        <f aca="false">IFERROR(SUMIFS(Deployments[failed?],Deployments[Prod],"&gt;="&amp;I$1,Deployments[Prod],"&lt;"&amp;J$1)/COUNTIFS(Deployments[Prod],"&gt;="&amp;I$1,Deployments[Prod],"&lt;"&amp;J$1),0)</f>
        <v>0.102564102564103</v>
      </c>
      <c r="K4" s="26" t="n">
        <f aca="false">IFERROR(SUMIFS(Deployments[failed?],Deployments[Prod],"&gt;="&amp;J$1,Deployments[Prod],"&lt;"&amp;K$1)/COUNTIFS(Deployments[Prod],"&gt;="&amp;J$1,Deployments[Prod],"&lt;"&amp;K$1),0)</f>
        <v>0</v>
      </c>
      <c r="L4" s="26" t="n">
        <f aca="false">IFERROR(SUMIFS(Deployments[failed?],Deployments[Prod],"&gt;="&amp;K$1,Deployments[Prod],"&lt;"&amp;L$1)/COUNTIFS(Deployments[Prod],"&gt;="&amp;K$1,Deployments[Prod],"&lt;"&amp;L$1),0)</f>
        <v>0</v>
      </c>
      <c r="M4" s="26" t="n">
        <f aca="false">IFERROR(SUMIFS(Deployments[failed?],Deployments[Prod],"&gt;="&amp;L$1,Deployments[Prod],"&lt;"&amp;M$1)/COUNTIFS(Deployments[Prod],"&gt;="&amp;L$1,Deployments[Prod],"&lt;"&amp;M$1),0)</f>
        <v>0</v>
      </c>
      <c r="N4" s="26" t="n">
        <f aca="false">IFERROR(SUMIFS(Deployments[failed?],Deployments[Prod],"&gt;="&amp;M$1,Deployments[Prod],"&lt;"&amp;N$1)/COUNTIFS(Deployments[Prod],"&gt;="&amp;M$1,Deployments[Prod],"&lt;"&amp;N$1),0)</f>
        <v>0</v>
      </c>
      <c r="O4" s="26" t="n">
        <f aca="false">IFERROR(SUMIFS(Deployments[failed?],Deployments[Prod],"&gt;="&amp;N$1,Deployments[Prod],"&lt;"&amp;O$1)/COUNTIFS(Deployments[Prod],"&gt;="&amp;N$1,Deployments[Prod],"&lt;"&amp;O$1),0)</f>
        <v>0</v>
      </c>
      <c r="P4" s="26" t="n">
        <f aca="false">IFERROR(SUMIFS(Deployments[failed?],Deployments[Prod],"&gt;="&amp;O$1,Deployments[Prod],"&lt;"&amp;P$1)/COUNTIFS(Deployments[Prod],"&gt;="&amp;O$1,Deployments[Prod],"&lt;"&amp;P$1),0)</f>
        <v>0</v>
      </c>
      <c r="Q4" s="26" t="n">
        <f aca="false">IFERROR(SUMIFS(Deployments[failed?],Deployments[Prod],"&gt;="&amp;P$1,Deployments[Prod],"&lt;"&amp;Q$1)/COUNTIFS(Deployments[Prod],"&gt;="&amp;P$1,Deployments[Prod],"&lt;"&amp;Q$1),0)</f>
        <v>0</v>
      </c>
      <c r="R4" s="26" t="n">
        <f aca="false">IFERROR(SUMIFS(Deployments[failed?],Deployments[Prod],"&gt;="&amp;Q$1,Deployments[Prod],"&lt;"&amp;R$1)/COUNTIFS(Deployments[Prod],"&gt;="&amp;Q$1,Deployments[Prod],"&lt;"&amp;R$1),0)</f>
        <v>0</v>
      </c>
      <c r="S4" s="26" t="n">
        <f aca="false">IFERROR(SUMIFS(Deployments[failed?],Deployments[Prod],"&gt;="&amp;R$1,Deployments[Prod],"&lt;"&amp;S$1)/COUNTIFS(Deployments[Prod],"&gt;="&amp;R$1,Deployments[Prod],"&lt;"&amp;S$1),0)</f>
        <v>0</v>
      </c>
      <c r="T4" s="26" t="n">
        <f aca="false">IFERROR(SUMIFS(Deployments[failed?],Deployments[Prod],"&gt;="&amp;S$1,Deployments[Prod],"&lt;"&amp;T$1)/COUNTIFS(Deployments[Prod],"&gt;="&amp;S$1,Deployments[Prod],"&lt;"&amp;T$1),0)</f>
        <v>0</v>
      </c>
      <c r="U4" s="26" t="n">
        <f aca="false">IFERROR(SUMIFS(Deployments[failed?],Deployments[Prod],"&gt;="&amp;T$1,Deployments[Prod],"&lt;"&amp;U$1)/COUNTIFS(Deployments[Prod],"&gt;="&amp;T$1,Deployments[Prod],"&lt;"&amp;U$1),0)</f>
        <v>0</v>
      </c>
      <c r="V4" s="26" t="n">
        <f aca="false">IFERROR(SUMIFS(Deployments[failed?],Deployments[Prod],"&gt;="&amp;U$1,Deployments[Prod],"&lt;"&amp;V$1)/COUNTIFS(Deployments[Prod],"&gt;="&amp;U$1,Deployments[Prod],"&lt;"&amp;V$1),0)</f>
        <v>0</v>
      </c>
      <c r="W4" s="26" t="n">
        <f aca="false">IFERROR(SUMIFS(Deployments[failed?],Deployments[Prod],"&gt;="&amp;V$1,Deployments[Prod],"&lt;"&amp;W$1)/COUNTIFS(Deployments[Prod],"&gt;="&amp;V$1,Deployments[Prod],"&lt;"&amp;W$1),0)</f>
        <v>0</v>
      </c>
      <c r="X4" s="26" t="n">
        <f aca="false">IFERROR(SUMIFS(Deployments[failed?],Deployments[Prod],"&gt;="&amp;W$1,Deployments[Prod],"&lt;"&amp;X$1)/COUNTIFS(Deployments[Prod],"&gt;="&amp;W$1,Deployments[Prod],"&lt;"&amp;X$1),0)</f>
        <v>0</v>
      </c>
      <c r="Y4" s="26" t="n">
        <f aca="false">IFERROR(SUMIFS(Deployments[failed?],Deployments[Prod],"&gt;="&amp;X$1,Deployments[Prod],"&lt;"&amp;Y$1)/COUNTIFS(Deployments[Prod],"&gt;="&amp;X$1,Deployments[Prod],"&lt;"&amp;Y$1),0)</f>
        <v>0</v>
      </c>
      <c r="Z4" s="26" t="n">
        <f aca="false">IFERROR(SUMIFS(Deployments[failed?],Deployments[Prod],"&gt;="&amp;Y$1,Deployments[Prod],"&lt;"&amp;Z$1)/COUNTIFS(Deployments[Prod],"&gt;="&amp;Y$1,Deployments[Prod],"&lt;"&amp;Z$1),0)</f>
        <v>0</v>
      </c>
      <c r="AA4" s="26" t="n">
        <f aca="false">IFERROR(SUMIFS(Deployments[failed?],Deployments[Prod],"&gt;="&amp;Z$1,Deployments[Prod],"&lt;"&amp;AA$1)/COUNTIFS(Deployments[Prod],"&gt;="&amp;Z$1,Deployments[Prod],"&lt;"&amp;AA$1),0)</f>
        <v>0</v>
      </c>
      <c r="AB4" s="26" t="n">
        <f aca="false">IFERROR(SUMIFS(Deployments[failed?],Deployments[Prod],"&gt;="&amp;AA$1,Deployments[Prod],"&lt;"&amp;AB$1)/COUNTIFS(Deployments[Prod],"&gt;="&amp;AA$1,Deployments[Prod],"&lt;"&amp;AB$1),0)</f>
        <v>0</v>
      </c>
      <c r="AC4" s="26" t="n">
        <f aca="false">IFERROR(SUMIFS(Deployments[failed?],Deployments[Prod],"&gt;="&amp;AB$1,Deployments[Prod],"&lt;"&amp;AC$1)/COUNTIFS(Deployments[Prod],"&gt;="&amp;AB$1,Deployments[Prod],"&lt;"&amp;AC$1),0)</f>
        <v>0</v>
      </c>
      <c r="AD4" s="26" t="n">
        <f aca="false">IFERROR(SUMIFS(Deployments[failed?],Deployments[Prod],"&gt;="&amp;AC$1,Deployments[Prod],"&lt;"&amp;AD$1)/COUNTIFS(Deployments[Prod],"&gt;="&amp;AC$1,Deployments[Prod],"&lt;"&amp;AD$1),0)</f>
        <v>0</v>
      </c>
      <c r="AE4" s="26" t="n">
        <f aca="false">IFERROR(SUMIFS(Deployments[failed?],Deployments[Prod],"&gt;="&amp;AD$1,Deployments[Prod],"&lt;"&amp;AE$1)/COUNTIFS(Deployments[Prod],"&gt;="&amp;AD$1,Deployments[Prod],"&lt;"&amp;AE$1),0)</f>
        <v>0</v>
      </c>
      <c r="AF4" s="26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4" customFormat="true" ht="15" hidden="false" customHeight="true" outlineLevel="0" collapsed="false">
      <c r="A5" s="15" t="s">
        <v>16</v>
      </c>
      <c r="B5" s="15"/>
      <c r="C5" s="15" t="n">
        <f aca="false">AVERAGE(Commits[DaysToRelease])</f>
        <v>0.342281879194631</v>
      </c>
      <c r="D5" s="24" t="s">
        <v>17</v>
      </c>
      <c r="E5" s="27" t="n">
        <f aca="false">IFERROR(AVERAGEIFS(Commits[DaysToRelease], Commits[DateCommit], "&gt;=" &amp; D$1, Commits[DateCommit], "&lt;" &amp; E$1), 0)</f>
        <v>0.37037037037037</v>
      </c>
      <c r="F5" s="27" t="n">
        <f aca="false">IFERROR(AVERAGEIFS(Commits[DaysToRelease], Commits[DateCommit], "&gt;=" &amp; E$1, Commits[DateCommit], "&lt;" &amp; F$1), 0)</f>
        <v>0.230769230769231</v>
      </c>
      <c r="G5" s="27" t="n">
        <f aca="false">IFERROR(AVERAGEIFS(Commits[DaysToRelease], Commits[DateCommit], "&gt;=" &amp; F$1, Commits[DateCommit], "&lt;" &amp; G$1), 0)</f>
        <v>0.4</v>
      </c>
      <c r="H5" s="27" t="n">
        <f aca="false">IFERROR(AVERAGEIFS(Commits[DaysToRelease], Commits[DateCommit], "&gt;=" &amp; G$1, Commits[DateCommit], "&lt;" &amp; H$1), 0)</f>
        <v>0.277777777777778</v>
      </c>
      <c r="I5" s="27" t="n">
        <f aca="false">IFERROR(AVERAGEIFS(Commits[DaysToRelease], Commits[DateCommit], "&gt;=" &amp; H$1, Commits[DateCommit], "&lt;" &amp; I$1), 0)</f>
        <v>0.333333333333333</v>
      </c>
      <c r="J5" s="27" t="n">
        <f aca="false">IFERROR(AVERAGEIFS(Commits[DaysToRelease], Commits[DateCommit], "&gt;=" &amp; I$1, Commits[DateCommit], "&lt;" &amp; J$1), 0)</f>
        <v>0.416666666666667</v>
      </c>
      <c r="K5" s="27" t="n">
        <f aca="false">IFERROR(AVERAGEIFS(Commits[DaysToRelease], Commits[DateCommit], "&gt;=" &amp; J$1, Commits[DateCommit], "&lt;" &amp; K$1), 0)</f>
        <v>0</v>
      </c>
      <c r="L5" s="27" t="n">
        <f aca="false">IFERROR(AVERAGEIFS(Commits[DaysToRelease], Commits[DateCommit], "&gt;=" &amp; K$1, Commits[DateCommit], "&lt;" &amp; L$1), 0)</f>
        <v>0</v>
      </c>
      <c r="M5" s="27" t="n">
        <f aca="false">IFERROR(AVERAGEIFS(Commits[DaysToRelease], Commits[DateCommit], "&gt;=" &amp; L$1, Commits[DateCommit], "&lt;" &amp; M$1), 0)</f>
        <v>0</v>
      </c>
      <c r="N5" s="27" t="n">
        <f aca="false">IFERROR(AVERAGEIFS(Commits[DaysToRelease], Commits[DateCommit], "&gt;=" &amp; M$1, Commits[DateCommit], "&lt;" &amp; N$1), 0)</f>
        <v>0</v>
      </c>
      <c r="O5" s="27" t="n">
        <f aca="false">IFERROR(AVERAGEIFS(Commits[DaysToRelease], Commits[DateCommit], "&gt;=" &amp; N$1, Commits[DateCommit], "&lt;" &amp; O$1), 0)</f>
        <v>0</v>
      </c>
      <c r="P5" s="27" t="n">
        <f aca="false">IFERROR(AVERAGEIFS(Commits[DaysToRelease], Commits[DateCommit], "&gt;=" &amp; O$1, Commits[DateCommit], "&lt;" &amp; P$1), 0)</f>
        <v>0</v>
      </c>
      <c r="Q5" s="27" t="n">
        <f aca="false">IFERROR(AVERAGEIFS(Commits[DaysToRelease], Commits[DateCommit], "&gt;=" &amp; P$1, Commits[DateCommit], "&lt;" &amp; Q$1), 0)</f>
        <v>0</v>
      </c>
      <c r="R5" s="27" t="n">
        <f aca="false">IFERROR(AVERAGEIFS(Commits[DaysToRelease], Commits[DateCommit], "&gt;=" &amp; Q$1, Commits[DateCommit], "&lt;" &amp; R$1), 0)</f>
        <v>0</v>
      </c>
      <c r="S5" s="27" t="n">
        <f aca="false">IFERROR(AVERAGEIFS(Commits[DaysToRelease], Commits[DateCommit], "&gt;=" &amp; R$1, Commits[DateCommit], "&lt;" &amp; S$1), 0)</f>
        <v>0</v>
      </c>
      <c r="T5" s="27" t="n">
        <f aca="false">IFERROR(AVERAGEIFS(Commits[DaysToRelease], Commits[DateCommit], "&gt;=" &amp; S$1, Commits[DateCommit], "&lt;" &amp; T$1), 0)</f>
        <v>0</v>
      </c>
      <c r="U5" s="27" t="n">
        <f aca="false">IFERROR(AVERAGEIFS(Commits[DaysToRelease], Commits[DateCommit], "&gt;=" &amp; T$1, Commits[DateCommit], "&lt;" &amp; U$1), 0)</f>
        <v>0</v>
      </c>
      <c r="V5" s="27" t="n">
        <f aca="false">IFERROR(AVERAGEIFS(Commits[DaysToRelease], Commits[DateCommit], "&gt;=" &amp; U$1, Commits[DateCommit], "&lt;" &amp; V$1), 0)</f>
        <v>0</v>
      </c>
      <c r="W5" s="27" t="n">
        <f aca="false">IFERROR(AVERAGEIFS(Commits[DaysToRelease], Commits[DateCommit], "&gt;=" &amp; V$1, Commits[DateCommit], "&lt;" &amp; W$1), 0)</f>
        <v>0</v>
      </c>
      <c r="X5" s="27" t="n">
        <f aca="false">IFERROR(AVERAGEIFS(Commits[DaysToRelease], Commits[DateCommit], "&gt;=" &amp; W$1, Commits[DateCommit], "&lt;" &amp; X$1), 0)</f>
        <v>0</v>
      </c>
      <c r="Y5" s="27" t="n">
        <f aca="false">IFERROR(AVERAGEIFS(Commits[DaysToRelease], Commits[DateCommit], "&gt;=" &amp; X$1, Commits[DateCommit], "&lt;" &amp; Y$1), 0)</f>
        <v>0</v>
      </c>
      <c r="Z5" s="27" t="n">
        <f aca="false">IFERROR(AVERAGEIFS(Commits[DaysToRelease], Commits[DateCommit], "&gt;=" &amp; Y$1, Commits[DateCommit], "&lt;" &amp; Z$1), 0)</f>
        <v>0</v>
      </c>
      <c r="AA5" s="27" t="n">
        <f aca="false">IFERROR(AVERAGEIFS(Commits[DaysToRelease], Commits[DateCommit], "&gt;=" &amp; Z$1, Commits[DateCommit], "&lt;" &amp; AA$1), 0)</f>
        <v>0</v>
      </c>
      <c r="AB5" s="27" t="n">
        <f aca="false">IFERROR(AVERAGEIFS(Commits[DaysToRelease], Commits[DateCommit], "&gt;=" &amp; AA$1, Commits[DateCommit], "&lt;" &amp; AB$1), 0)</f>
        <v>0</v>
      </c>
      <c r="AC5" s="27" t="n">
        <f aca="false">IFERROR(AVERAGEIFS(Commits[DaysToRelease], Commits[DateCommit], "&gt;=" &amp; AB$1, Commits[DateCommit], "&lt;" &amp; AC$1), 0)</f>
        <v>0</v>
      </c>
      <c r="AD5" s="27" t="n">
        <f aca="false">IFERROR(AVERAGEIFS(Commits[DaysToRelease], Commits[DateCommit], "&gt;=" &amp; AC$1, Commits[DateCommit], "&lt;" &amp; AD$1), 0)</f>
        <v>0</v>
      </c>
      <c r="AE5" s="27" t="n">
        <f aca="false">IFERROR(AVERAGEIFS(Commits[DaysToRelease], Commits[DateCommit], "&gt;=" &amp; AD$1, Commits[DateCommit], "&lt;" &amp; AE$1), 0)</f>
        <v>0</v>
      </c>
      <c r="AF5" s="27" t="n">
        <f aca="false">IFERROR(AVERAGEIFS(Commits[DaysToRelease], Commits[DateCommit], "&gt;=" &amp; AE$1, Commits[DateCommit], "&lt;" &amp; AF$1), 0)</f>
        <v>0</v>
      </c>
      <c r="XFD5" s="27" t="e">
        <f aca="false">AVERAGEIFS(Commits[DaysToRelease], Commits[DateCommit], "&gt;=" &amp; XFC$1, Commits[DateCommit], "&lt;" &amp; XFD$1)</f>
        <v>#DIV/0!</v>
      </c>
    </row>
    <row r="6" customFormat="false" ht="15" hidden="false" customHeight="true" outlineLevel="0" collapsed="false">
      <c r="A6" s="25" t="s">
        <v>18</v>
      </c>
      <c r="B6" s="25"/>
      <c r="C6" s="25" t="n">
        <f aca="false">AVERAGE(Issues[DaysToRelease])</f>
        <v>3.73529411764706</v>
      </c>
      <c r="D6" s="1" t="s">
        <v>19</v>
      </c>
      <c r="E6" s="27" t="n">
        <f aca="false">IFERROR(AVERAGEIFS(Issues[DaysToRelease], Issues[ReleaseDate], "&gt;=" &amp; D$1, Issues[ReleaseDate], "&lt;" &amp; E$1), 0)</f>
        <v>3.4</v>
      </c>
      <c r="F6" s="27" t="n">
        <f aca="false">IFERROR(AVERAGEIFS(Issues[DaysToRelease], Issues[ReleaseDate], "&gt;=" &amp; E$1, Issues[ReleaseDate], "&lt;" &amp; F$1), 0)</f>
        <v>3.42857142857143</v>
      </c>
      <c r="G6" s="27" t="n">
        <f aca="false">IFERROR(AVERAGEIFS(Issues[DaysToRelease], Issues[ReleaseDate], "&gt;=" &amp; F$1, Issues[ReleaseDate], "&lt;" &amp; G$1), 0)</f>
        <v>3.83333333333333</v>
      </c>
      <c r="H6" s="27" t="n">
        <f aca="false">IFERROR(AVERAGEIFS(Issues[DaysToRelease], Issues[ReleaseDate], "&gt;=" &amp; G$1, Issues[ReleaseDate], "&lt;" &amp; H$1), 0)</f>
        <v>3.66666666666667</v>
      </c>
      <c r="I6" s="27" t="n">
        <f aca="false">IFERROR(AVERAGEIFS(Issues[DaysToRelease], Issues[ReleaseDate], "&gt;=" &amp; H$1, Issues[ReleaseDate], "&lt;" &amp; I$1), 0)</f>
        <v>4.2</v>
      </c>
      <c r="J6" s="27" t="n">
        <f aca="false">IFERROR(AVERAGEIFS(Issues[DaysToRelease], Issues[ReleaseDate], "&gt;=" &amp; I$1, Issues[ReleaseDate], "&lt;" &amp; J$1), 0)</f>
        <v>3.75</v>
      </c>
      <c r="K6" s="27" t="n">
        <f aca="false">IFERROR(AVERAGEIFS(Issues[DaysToRelease], Issues[ReleaseDate], "&gt;=" &amp; J$1, Issues[ReleaseDate], "&lt;" &amp; K$1), 0)</f>
        <v>5</v>
      </c>
      <c r="L6" s="27" t="n">
        <f aca="false">IFERROR(AVERAGEIFS(Issues[DaysToRelease], Issues[ReleaseDate], "&gt;=" &amp; K$1, Issues[ReleaseDate], "&lt;" &amp; L$1), 0)</f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  <c r="O6" s="27" t="n">
        <f aca="false">IFERROR(AVERAGEIFS(Issues[DaysToRelease], Issues[ReleaseDate], "&gt;=" &amp; N$1, Issues[ReleaseDate], "&lt;" &amp; O$1), 0)</f>
        <v>0</v>
      </c>
      <c r="P6" s="27" t="n">
        <f aca="false">IFERROR(AVERAGEIFS(Issues[DaysToRelease], Issues[ReleaseDate], "&gt;=" &amp; O$1, Issues[ReleaseDate], "&lt;" &amp; P$1), 0)</f>
        <v>0</v>
      </c>
      <c r="Q6" s="27" t="n">
        <f aca="false">IFERROR(AVERAGEIFS(Issues[DaysToRelease], Issues[ReleaseDate], "&gt;=" &amp; P$1, Issues[ReleaseDate], "&lt;" &amp; Q$1), 0)</f>
        <v>0</v>
      </c>
      <c r="R6" s="27" t="n">
        <f aca="false">IFERROR(AVERAGEIFS(Issues[DaysToRelease], Issues[ReleaseDate], "&gt;=" &amp; Q$1, Issues[ReleaseDate], "&lt;" &amp; R$1), 0)</f>
        <v>0</v>
      </c>
      <c r="S6" s="27" t="n">
        <f aca="false">IFERROR(AVERAGEIFS(Issues[DaysToRelease], Issues[ReleaseDate], "&gt;=" &amp; R$1, Issues[ReleaseDate], "&lt;" &amp; S$1), 0)</f>
        <v>0</v>
      </c>
      <c r="T6" s="27" t="n">
        <f aca="false">IFERROR(AVERAGEIFS(Issues[DaysToRelease], Issues[ReleaseDate], "&gt;=" &amp; S$1, Issues[ReleaseDate], "&lt;" &amp; T$1), 0)</f>
        <v>0</v>
      </c>
      <c r="U6" s="27" t="n">
        <f aca="false">IFERROR(AVERAGEIFS(Issues[DaysToRelease], Issues[ReleaseDate], "&gt;=" &amp; T$1, Issues[ReleaseDate], "&lt;" &amp; U$1), 0)</f>
        <v>0</v>
      </c>
      <c r="V6" s="27" t="n">
        <f aca="false">IFERROR(AVERAGEIFS(Issues[DaysToRelease], Issues[ReleaseDate], "&gt;=" &amp; U$1, Issues[ReleaseDate], "&lt;" &amp; V$1), 0)</f>
        <v>0</v>
      </c>
      <c r="W6" s="27" t="n">
        <f aca="false">IFERROR(AVERAGEIFS(Issues[DaysToRelease], Issues[ReleaseDate], "&gt;=" &amp; V$1, Issues[ReleaseDate], "&lt;" &amp; W$1), 0)</f>
        <v>0</v>
      </c>
      <c r="X6" s="27" t="n">
        <f aca="false">IFERROR(AVERAGEIFS(Issues[DaysToRelease], Issues[ReleaseDate], "&gt;=" &amp; W$1, Issues[ReleaseDate], "&lt;" &amp; X$1), 0)</f>
        <v>0</v>
      </c>
      <c r="Y6" s="27" t="n">
        <f aca="false">IFERROR(AVERAGEIFS(Issues[DaysToRelease], Issues[ReleaseDate], "&gt;=" &amp; X$1, Issues[ReleaseDate], "&lt;" &amp; Y$1), 0)</f>
        <v>0</v>
      </c>
      <c r="Z6" s="27" t="n">
        <f aca="false">IFERROR(AVERAGEIFS(Issues[DaysToRelease], Issues[ReleaseDate], "&gt;=" &amp; Y$1, Issues[ReleaseDate], "&lt;" &amp; Z$1), 0)</f>
        <v>0</v>
      </c>
      <c r="AA6" s="27" t="n">
        <f aca="false">IFERROR(AVERAGEIFS(Issues[DaysToRelease], Issues[ReleaseDate], "&gt;=" &amp; Z$1, Issues[ReleaseDate], "&lt;" &amp; AA$1), 0)</f>
        <v>0</v>
      </c>
      <c r="AB6" s="27" t="n">
        <f aca="false">IFERROR(AVERAGEIFS(Issues[DaysToRelease], Issues[ReleaseDate], "&gt;=" &amp; AA$1, Issues[ReleaseDate], "&lt;" &amp; AB$1), 0)</f>
        <v>0</v>
      </c>
      <c r="AC6" s="27" t="n">
        <f aca="false">IFERROR(AVERAGEIFS(Issues[DaysToRelease], Issues[ReleaseDate], "&gt;=" &amp; AB$1, Issues[ReleaseDate], "&lt;" &amp; AC$1), 0)</f>
        <v>0</v>
      </c>
      <c r="AD6" s="27" t="n">
        <f aca="false">IFERROR(AVERAGEIFS(Issues[DaysToRelease], Issues[ReleaseDate], "&gt;=" &amp; AC$1, Issues[ReleaseDate], "&lt;" &amp; AD$1), 0)</f>
        <v>0</v>
      </c>
      <c r="AE6" s="27" t="n">
        <f aca="false">IFERROR(AVERAGEIFS(Issues[DaysToRelease], Issues[ReleaseDate], "&gt;=" &amp; AD$1, Issues[ReleaseDate], "&lt;" &amp; AE$1), 0)</f>
        <v>0</v>
      </c>
      <c r="AF6" s="27" t="n">
        <f aca="false">IFERROR(AVERAGEIFS(Issues[DaysToRelease], Issues[ReleaseDate], "&gt;=" &amp; AE$1, Issues[ReleaseDate], "&lt;" &amp; AF$1), 0)</f>
        <v>0</v>
      </c>
    </row>
    <row r="7" customFormat="false" ht="15" hidden="false" customHeight="true" outlineLevel="0" collapsed="false">
      <c r="A7" s="25"/>
      <c r="B7" s="25"/>
      <c r="C7" s="25"/>
    </row>
    <row r="8" customFormat="false" ht="15" hidden="false" customHeight="true" outlineLevel="0" collapsed="false">
      <c r="A8" s="25"/>
      <c r="B8" s="25"/>
      <c r="C8" s="25"/>
    </row>
    <row r="9" customFormat="false" ht="15" hidden="false" customHeight="true" outlineLevel="0" collapsed="false">
      <c r="A9" s="25"/>
      <c r="B9" s="25"/>
      <c r="C9" s="25"/>
    </row>
    <row r="10" customFormat="false" ht="15" hidden="false" customHeight="true" outlineLevel="0" collapsed="false">
      <c r="A10" s="25"/>
      <c r="B10" s="25"/>
      <c r="C10" s="25"/>
    </row>
    <row r="11" customFormat="false" ht="15" hidden="false" customHeight="true" outlineLevel="0" collapsed="false">
      <c r="A11" s="25"/>
      <c r="B11" s="25"/>
      <c r="C11" s="25"/>
    </row>
    <row r="12" customFormat="false" ht="15" hidden="false" customHeight="true" outlineLevel="0" collapsed="false">
      <c r="D1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.3"/>
    <col collapsed="false" customWidth="true" hidden="false" outlineLevel="0" max="3" min="3" style="1" width="27.7"/>
    <col collapsed="false" customWidth="true" hidden="false" outlineLevel="0" max="4" min="4" style="1" width="22.3"/>
    <col collapsed="false" customWidth="true" hidden="false" outlineLevel="0" max="5" min="5" style="1" width="23.04"/>
    <col collapsed="false" customWidth="true" hidden="false" outlineLevel="0" max="6" min="6" style="1" width="13.86"/>
    <col collapsed="false" customWidth="true" hidden="false" outlineLevel="0" max="7" min="7" style="1" width="9.3"/>
    <col collapsed="false" customWidth="true" hidden="false" outlineLevel="0" max="8" min="8" style="1" width="10.43"/>
    <col collapsed="false" customWidth="true" hidden="false" outlineLevel="0" max="10" min="9" style="1" width="9.3"/>
    <col collapsed="false" customWidth="true" hidden="false" outlineLevel="0" max="11" min="11" style="1" width="11.86"/>
    <col collapsed="false" customWidth="true" hidden="false" outlineLevel="0" max="14" min="12" style="1" width="11.57"/>
    <col collapsed="false" customWidth="true" hidden="false" outlineLevel="0" max="16384" min="16378" style="1" width="10.16"/>
  </cols>
  <sheetData>
    <row r="1" s="23" customFormat="true" ht="13.5" hidden="false" customHeight="true" outlineLevel="0" collapsed="false">
      <c r="A1" s="22"/>
      <c r="B1" s="22" t="s">
        <v>21</v>
      </c>
      <c r="D1" s="23" t="s">
        <v>22</v>
      </c>
      <c r="E1" s="23" t="n">
        <v>45901</v>
      </c>
      <c r="F1" s="23" t="n">
        <v>45931</v>
      </c>
      <c r="G1" s="23" t="n">
        <v>45962</v>
      </c>
      <c r="H1" s="23" t="n">
        <v>45992</v>
      </c>
      <c r="I1" s="23" t="n">
        <v>46023</v>
      </c>
      <c r="J1" s="23" t="n">
        <v>46054</v>
      </c>
      <c r="K1" s="23" t="n">
        <v>45717</v>
      </c>
      <c r="L1" s="23" t="n">
        <v>46113</v>
      </c>
      <c r="M1" s="23" t="n">
        <v>46143</v>
      </c>
      <c r="N1" s="23" t="n">
        <v>46174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XEX1" s="1"/>
      <c r="XEY1" s="1"/>
      <c r="XEZ1" s="1"/>
      <c r="XFA1" s="1"/>
      <c r="XFB1" s="1"/>
      <c r="XFC1" s="1"/>
      <c r="XFD1" s="1"/>
    </row>
    <row r="2" s="24" customFormat="true" ht="13.5" hidden="false" customHeight="true" outlineLevel="0" collapsed="false">
      <c r="A2" s="15" t="s">
        <v>11</v>
      </c>
      <c r="B2" s="15" t="n">
        <f aca="false">(YEARFRAC(MIN(Deployments[Acc]),MAX(Deployments[Acc]))*365)/COUNTA(Deployments[Acc])</f>
        <v>0.997267759562842</v>
      </c>
      <c r="C2" s="24" t="s">
        <v>12</v>
      </c>
      <c r="D2" s="24" t="n">
        <f aca="false">(YEARFRAC($E$1,$K$1,1)*365)/SUM(F2:K2)</f>
        <v>1.00546448087432</v>
      </c>
      <c r="E2" s="24" t="s">
        <v>23</v>
      </c>
      <c r="F2" s="24" t="n">
        <v>33</v>
      </c>
      <c r="G2" s="24" t="n">
        <v>31</v>
      </c>
      <c r="H2" s="24" t="n">
        <v>23</v>
      </c>
      <c r="I2" s="24" t="n">
        <v>24</v>
      </c>
      <c r="J2" s="24" t="n">
        <v>32</v>
      </c>
      <c r="K2" s="24" t="n">
        <v>40</v>
      </c>
      <c r="L2" s="24" t="n"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XEX2" s="1"/>
      <c r="XEY2" s="1"/>
      <c r="XEZ2" s="1"/>
      <c r="XFA2" s="1"/>
      <c r="XFB2" s="1"/>
      <c r="XFC2" s="1"/>
      <c r="XFD2" s="1"/>
    </row>
    <row r="3" customFormat="false" ht="13.5" hidden="false" customHeight="true" outlineLevel="0" collapsed="false">
      <c r="A3" s="25" t="s">
        <v>13</v>
      </c>
      <c r="B3" s="15" t="n">
        <f aca="false">(MAX(Deployments[Prod])-MIN(Deployments[Prod]))/COUNTA(Deployments[Prod])</f>
        <v>0.989071038251366</v>
      </c>
      <c r="C3" s="24" t="s">
        <v>12</v>
      </c>
      <c r="D3" s="24" t="n">
        <f aca="false">(YEARFRAC($E$1,$K$1,1)*365)/SUM(F3:K3)</f>
        <v>1.00546448087432</v>
      </c>
      <c r="E3" s="24" t="s">
        <v>23</v>
      </c>
      <c r="F3" s="1" t="n">
        <v>33</v>
      </c>
      <c r="G3" s="1" t="n">
        <f aca="false">COUNTIFS(Deployments[Prod],"&gt;="&amp;F$1,Deployments[Prod],"&lt;"&amp;G$1)</f>
        <v>31</v>
      </c>
      <c r="H3" s="1" t="n">
        <f aca="false">COUNTIFS(Deployments[Prod],"&gt;="&amp;G$1,Deployments[Prod],"&lt;"&amp;H$1)</f>
        <v>23</v>
      </c>
      <c r="I3" s="1" t="n">
        <f aca="false">COUNTIFS(Deployments[Prod],"&gt;="&amp;H$1,Deployments[Prod],"&lt;"&amp;I$1)</f>
        <v>24</v>
      </c>
      <c r="J3" s="1" t="n">
        <f aca="false">COUNTIFS(Deployments[Prod],"&gt;="&amp;I$1,Deployments[Prod],"&lt;"&amp;J$1)</f>
        <v>32</v>
      </c>
      <c r="K3" s="1" t="n">
        <v>40</v>
      </c>
      <c r="L3" s="1" t="n"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</row>
    <row r="4" s="1" customFormat="true" ht="13.5" hidden="false" customHeight="true" outlineLevel="0" collapsed="false">
      <c r="A4" s="25" t="s">
        <v>14</v>
      </c>
      <c r="B4" s="25" t="n">
        <f aca="false">SUM(Deployments[failed?])/COUNT(Deployments[failed?])</f>
        <v>0.185792349726776</v>
      </c>
      <c r="C4" s="1" t="s">
        <v>15</v>
      </c>
      <c r="D4" s="26" t="n">
        <f aca="false">IFERROR(SUM(F4:K4)/SUM(F3:K3),0)</f>
        <v>0.180327868852459</v>
      </c>
      <c r="E4" s="26" t="s">
        <v>24</v>
      </c>
      <c r="F4" s="28" t="n">
        <v>5</v>
      </c>
      <c r="G4" s="28" t="n">
        <v>6</v>
      </c>
      <c r="H4" s="28" t="n">
        <v>7</v>
      </c>
      <c r="I4" s="28" t="n">
        <v>6</v>
      </c>
      <c r="J4" s="28" t="n">
        <v>5</v>
      </c>
      <c r="K4" s="28" t="n">
        <v>4</v>
      </c>
      <c r="L4" s="28" t="n">
        <f aca="false">IFERROR(SUMIFS(Deployments[failed?],Deployments[Prod],"&gt;="&amp;K$1,Deployments[Prod],"&lt;"&amp;L$1)/COUNTIFS(Deployments[Prod],"&gt;="&amp;K$1,Deployments[Prod],"&lt;"&amp;L$1),0)</f>
        <v>0.185792349726776</v>
      </c>
      <c r="M4" s="28" t="n">
        <f aca="false">IFERROR(SUMIFS(Deployments[failed?],Deployments[Prod],"&gt;="&amp;L$1,Deployments[Prod],"&lt;"&amp;M$1)/COUNTIFS(Deployments[Prod],"&gt;="&amp;L$1,Deployments[Prod],"&lt;"&amp;M$1),0)</f>
        <v>0</v>
      </c>
      <c r="N4" s="28" t="n">
        <f aca="false">IFERROR(SUMIFS(Deployments[failed?],Deployments[Prod],"&gt;="&amp;M$1,Deployments[Prod],"&lt;"&amp;N$1)/COUNTIFS(Deployments[Prod],"&gt;="&amp;M$1,Deployments[Prod],"&lt;"&amp;N$1),0)</f>
        <v>0</v>
      </c>
    </row>
    <row r="5" s="24" customFormat="true" ht="13.5" hidden="false" customHeight="true" outlineLevel="0" collapsed="false">
      <c r="A5" s="15" t="s">
        <v>16</v>
      </c>
      <c r="B5" s="15" t="n">
        <f aca="false">AVERAGE(Commits[DaysToRelease])</f>
        <v>0.342281879194631</v>
      </c>
      <c r="C5" s="24" t="s">
        <v>17</v>
      </c>
      <c r="D5" s="24" t="n">
        <f aca="false">AVERAGEIF(F5:K5,"&gt;0")</f>
        <v>0.33815289648623</v>
      </c>
      <c r="E5" s="24" t="s">
        <v>25</v>
      </c>
      <c r="F5" s="29" t="n">
        <v>0.37037037037037</v>
      </c>
      <c r="G5" s="29" t="n">
        <v>0.230769230769231</v>
      </c>
      <c r="H5" s="29" t="n">
        <v>0.4</v>
      </c>
      <c r="I5" s="29" t="n">
        <v>0.277777777777778</v>
      </c>
      <c r="J5" s="29" t="n">
        <v>0.333333333333333</v>
      </c>
      <c r="K5" s="29" t="n">
        <v>0.416666666666667</v>
      </c>
      <c r="L5" s="29" t="n">
        <v>0</v>
      </c>
      <c r="M5" s="27" t="n">
        <v>0.1</v>
      </c>
      <c r="N5" s="27" t="n">
        <f aca="false">IFERROR(AVERAGEIFS(Commits[DaysToRelease], Commits[DateCommit], "&gt;=" &amp; M$1, Commits[DateCommit], "&lt;" &amp; N$1), 0)</f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XEW5" s="27" t="e">
        <f aca="false">AVERAGEIFS(Commits[DaysToRelease], Commits[DateCommit], "&gt;=" &amp; XEV$1, Commits[DateCommit], "&lt;" &amp; XEW$1)</f>
        <v>#DIV/0!</v>
      </c>
      <c r="XEX5" s="1"/>
      <c r="XEY5" s="1"/>
      <c r="XEZ5" s="1"/>
      <c r="XFA5" s="1"/>
      <c r="XFB5" s="1"/>
      <c r="XFC5" s="1"/>
      <c r="XFD5" s="1"/>
    </row>
    <row r="6" customFormat="false" ht="13.5" hidden="false" customHeight="true" outlineLevel="0" collapsed="false">
      <c r="A6" s="25" t="s">
        <v>18</v>
      </c>
      <c r="B6" s="25" t="n">
        <f aca="false">AVERAGE(Issues[DaysToRelease])</f>
        <v>3.73529411764706</v>
      </c>
      <c r="C6" s="1" t="s">
        <v>19</v>
      </c>
      <c r="D6" s="24" t="n">
        <f aca="false">AVERAGEIF(F6:K6,"&gt;0")</f>
        <v>3.71309523809524</v>
      </c>
      <c r="E6" s="24" t="s">
        <v>26</v>
      </c>
      <c r="F6" s="29" t="n">
        <v>3.4</v>
      </c>
      <c r="G6" s="29" t="n">
        <v>3.42857142857143</v>
      </c>
      <c r="H6" s="29" t="n">
        <v>3.83333333333333</v>
      </c>
      <c r="I6" s="29" t="n">
        <v>3.66666666666667</v>
      </c>
      <c r="J6" s="29" t="n">
        <v>4.2</v>
      </c>
      <c r="K6" s="29" t="n">
        <v>3.75</v>
      </c>
      <c r="L6" s="29" t="n"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</row>
    <row r="7" customFormat="false" ht="13.5" hidden="false" customHeight="true" outlineLevel="0" collapsed="false">
      <c r="A7" s="25"/>
      <c r="B7" s="25"/>
    </row>
    <row r="8" customFormat="false" ht="13.5" hidden="false" customHeight="true" outlineLevel="0" collapsed="false">
      <c r="A8" s="25"/>
      <c r="B8" s="25"/>
    </row>
    <row r="9" customFormat="false" ht="13.5" hidden="false" customHeight="true" outlineLevel="0" collapsed="false">
      <c r="A9" s="25"/>
      <c r="B9" s="25"/>
    </row>
    <row r="10" customFormat="false" ht="13.5" hidden="false" customHeight="true" outlineLevel="0" collapsed="false">
      <c r="A10" s="25"/>
      <c r="B10" s="25"/>
    </row>
    <row r="11" customFormat="false" ht="13.5" hidden="false" customHeight="true" outlineLevel="0" collapsed="false">
      <c r="A11" s="25"/>
      <c r="B11" s="25"/>
    </row>
    <row r="12" customFormat="false" ht="13.5" hidden="false" customHeight="true" outlineLevel="0" collapsed="false">
      <c r="C12" s="1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5" hidden="false" customHeight="true" outlineLevel="0" collapsed="false">
      <c r="A38" s="1" t="s">
        <v>27</v>
      </c>
      <c r="D38" s="1" t="n">
        <f aca="false">SUM(F38:AG38)</f>
        <v>6.11868067066174</v>
      </c>
      <c r="F38" s="1" t="n">
        <f aca="false">IFERROR(30/F3,0)</f>
        <v>0.909090909090909</v>
      </c>
      <c r="G38" s="1" t="n">
        <f aca="false">IFERROR(30/G3,0)</f>
        <v>0.967741935483871</v>
      </c>
      <c r="H38" s="1" t="n">
        <f aca="false">IFERROR(30/H3,0)</f>
        <v>1.30434782608696</v>
      </c>
      <c r="I38" s="1" t="n">
        <f aca="false">IFERROR(30/I3,0)</f>
        <v>1.25</v>
      </c>
      <c r="J38" s="1" t="n">
        <f aca="false">IFERROR(30/J3,0)</f>
        <v>0.9375</v>
      </c>
      <c r="K38" s="1" t="n">
        <f aca="false">IFERROR(30/K3,0)</f>
        <v>0.75</v>
      </c>
      <c r="L38" s="1" t="n">
        <f aca="false">IFERROR(30/L3,0)</f>
        <v>0</v>
      </c>
      <c r="M38" s="1" t="n">
        <f aca="false">IFERROR(30/M3,0)</f>
        <v>0</v>
      </c>
      <c r="N38" s="1" t="n">
        <f aca="false">IFERROR(30/N3,0)</f>
        <v>0</v>
      </c>
      <c r="O38" s="1" t="n">
        <f aca="false">IFERROR(30/O3,0)</f>
        <v>0</v>
      </c>
      <c r="P38" s="1" t="n">
        <f aca="false">IFERROR(30/P3,0)</f>
        <v>0</v>
      </c>
      <c r="Q38" s="1" t="n">
        <f aca="false">IFERROR(30/Q3,0)</f>
        <v>0</v>
      </c>
      <c r="R38" s="1" t="n">
        <f aca="false">IFERROR(30/R3,0)</f>
        <v>0</v>
      </c>
      <c r="S38" s="1" t="n">
        <f aca="false">IFERROR(30/S3,0)</f>
        <v>0</v>
      </c>
      <c r="T38" s="1" t="n">
        <f aca="false">IFERROR(30/T3,0)</f>
        <v>0</v>
      </c>
      <c r="U38" s="1" t="n">
        <f aca="false">IFERROR(30/U3,0)</f>
        <v>0</v>
      </c>
      <c r="V38" s="1" t="n">
        <f aca="false">IFERROR(30/V3,0)</f>
        <v>0</v>
      </c>
      <c r="W38" s="1" t="n">
        <f aca="false">IFERROR(30/W3,0)</f>
        <v>0</v>
      </c>
      <c r="X38" s="1" t="n">
        <f aca="false">IFERROR(30/X3,0)</f>
        <v>0</v>
      </c>
      <c r="Y38" s="1" t="n">
        <f aca="false">IFERROR(30/Y3,0)</f>
        <v>0</v>
      </c>
      <c r="Z38" s="1" t="n">
        <f aca="false">IFERROR(30/Z3,0)</f>
        <v>0</v>
      </c>
      <c r="AA38" s="1" t="n">
        <f aca="false">IFERROR(30/AA3,0)</f>
        <v>0</v>
      </c>
      <c r="AB38" s="1" t="n">
        <f aca="false">IFERROR(30/AB3,0)</f>
        <v>0</v>
      </c>
      <c r="AC38" s="1" t="n">
        <f aca="false">IFERROR(30/AC3,0)</f>
        <v>0</v>
      </c>
      <c r="AD38" s="1" t="n">
        <f aca="false">IFERROR(30/AD3,0)</f>
        <v>0</v>
      </c>
      <c r="AE38" s="1" t="n">
        <f aca="false">IFERROR(30/AE3,0)</f>
        <v>0</v>
      </c>
      <c r="AF38" s="1" t="n">
        <f aca="false">IFERROR(30/AF3,0)</f>
        <v>0</v>
      </c>
      <c r="AG38" s="1" t="n">
        <f aca="false">IFERROR(30/AG3,0)</f>
        <v>0</v>
      </c>
    </row>
    <row r="39" customFormat="false" ht="13.5" hidden="false" customHeight="true" outlineLevel="0" collapsed="false">
      <c r="A39" s="1" t="s">
        <v>28</v>
      </c>
      <c r="D39" s="1" t="e">
        <f aca="false">P4*(30/P3)</f>
        <v>#DIV/0!</v>
      </c>
      <c r="F39" s="1" t="n">
        <f aca="false">IFERROR(F4*(30/F3),0)</f>
        <v>4.54545454545455</v>
      </c>
      <c r="G39" s="1" t="n">
        <f aca="false">IFERROR(G4*(30/G3),0)</f>
        <v>5.80645161290323</v>
      </c>
      <c r="H39" s="1" t="n">
        <f aca="false">IFERROR(H4*(30/H3),0)</f>
        <v>9.1304347826087</v>
      </c>
      <c r="I39" s="1" t="n">
        <f aca="false">IFERROR(I4*(30/I3),0)</f>
        <v>7.5</v>
      </c>
      <c r="J39" s="1" t="n">
        <f aca="false">IFERROR(J4*(30/J3),0)</f>
        <v>4.6875</v>
      </c>
      <c r="K39" s="1" t="n">
        <f aca="false">IFERROR(K4*(30/K3),0)</f>
        <v>3</v>
      </c>
      <c r="L39" s="1" t="n">
        <f aca="false">IFERROR(L4*(30/L3),0)</f>
        <v>0</v>
      </c>
      <c r="M39" s="1" t="n">
        <f aca="false">IFERROR(M4*(30/M3),0)</f>
        <v>0</v>
      </c>
      <c r="N39" s="1" t="n">
        <f aca="false">IFERROR(N4*(30/N3),0)</f>
        <v>0</v>
      </c>
      <c r="O39" s="1" t="n">
        <f aca="false">IFERROR(O4*(30/O3),0)</f>
        <v>0</v>
      </c>
      <c r="P39" s="1" t="n">
        <f aca="false">IFERROR(P4*(30/P3),0)</f>
        <v>0</v>
      </c>
      <c r="Q39" s="1" t="n">
        <f aca="false">IFERROR(Q4*(30/Q3),0)</f>
        <v>0</v>
      </c>
      <c r="R39" s="1" t="n">
        <f aca="false">IFERROR(R4*(30/R3),0)</f>
        <v>0</v>
      </c>
      <c r="S39" s="1" t="n">
        <f aca="false">IFERROR(S4*(30/S3),0)</f>
        <v>0</v>
      </c>
      <c r="T39" s="1" t="n">
        <f aca="false">IFERROR(T4*(30/T3),0)</f>
        <v>0</v>
      </c>
      <c r="U39" s="1" t="n">
        <f aca="false">IFERROR(U4*(30/U3),0)</f>
        <v>0</v>
      </c>
      <c r="V39" s="1" t="n">
        <f aca="false">IFERROR(V4*(30/V3),0)</f>
        <v>0</v>
      </c>
      <c r="W39" s="1" t="n">
        <f aca="false">IFERROR(W4*(30/W3),0)</f>
        <v>0</v>
      </c>
      <c r="X39" s="1" t="n">
        <f aca="false">IFERROR(X4*(30/X3),0)</f>
        <v>0</v>
      </c>
      <c r="Y39" s="1" t="n">
        <f aca="false">IFERROR(Y4*(30/Y3),0)</f>
        <v>0</v>
      </c>
      <c r="Z39" s="1" t="n">
        <f aca="false">IFERROR(Z4*(30/Z3),0)</f>
        <v>0</v>
      </c>
      <c r="AA39" s="1" t="n">
        <f aca="false">IFERROR(AA4*(30/AA3),0)</f>
        <v>0</v>
      </c>
      <c r="AB39" s="1" t="n">
        <f aca="false">IFERROR(AB4*(30/AB3),0)</f>
        <v>0</v>
      </c>
      <c r="AC39" s="1" t="n">
        <f aca="false">IFERROR(AC4*(30/AC3),0)</f>
        <v>0</v>
      </c>
      <c r="AD39" s="1" t="n">
        <f aca="false">IFERROR(AD4*(30/AD3),0)</f>
        <v>0</v>
      </c>
      <c r="AE39" s="1" t="n">
        <f aca="false">IFERROR(AE4*(30/AE3),0)</f>
        <v>0</v>
      </c>
      <c r="AF39" s="1" t="n">
        <f aca="false">IFERROR(AF4*(30/AF3),0)</f>
        <v>0</v>
      </c>
      <c r="AG39" s="1" t="n">
        <f aca="false">IFERROR(AG4*(30/AG3),0)</f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2026-03-07T17:01:21Z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